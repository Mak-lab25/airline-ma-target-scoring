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i\Desktop\"/>
    </mc:Choice>
  </mc:AlternateContent>
  <xr:revisionPtr revIDLastSave="0" documentId="8_{2EF0D403-140A-4968-B1AC-8F053329AA74}" xr6:coauthVersionLast="47" xr6:coauthVersionMax="47" xr10:uidLastSave="{00000000-0000-0000-0000-000000000000}"/>
  <bookViews>
    <workbookView xWindow="-108" yWindow="-108" windowWidth="23256" windowHeight="12576" firstSheet="7" activeTab="8" xr2:uid="{00000000-000D-0000-FFFF-FFFF00000000}"/>
  </bookViews>
  <sheets>
    <sheet name="Business_Case" sheetId="5" r:id="rId1"/>
    <sheet name="Financials" sheetId="1" r:id="rId2"/>
    <sheet name="Analysis" sheetId="8" r:id="rId3"/>
    <sheet name="Market" sheetId="2" r:id="rId4"/>
    <sheet name="Operations" sheetId="3" r:id="rId5"/>
    <sheet name="Risk_Lookup" sheetId="4" r:id="rId6"/>
    <sheet name="Monthly_Performance" sheetId="6" r:id="rId7"/>
    <sheet name="Classement des cibles d'acquisi" sheetId="10" r:id="rId8"/>
    <sheet name="Dashboard" sheetId="12" r:id="rId9"/>
    <sheet name="Décomposition des scores" sheetId="11" r:id="rId10"/>
    <sheet name="Acquisition_Scoring_Model" sheetId="7" r:id="rId11"/>
  </sheet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8" l="1"/>
  <c r="R3" i="8"/>
  <c r="R4" i="8"/>
  <c r="R5" i="8"/>
  <c r="R6" i="8"/>
  <c r="R7" i="8"/>
  <c r="R8" i="8"/>
  <c r="R9" i="8"/>
  <c r="I2" i="8"/>
  <c r="I3" i="8"/>
  <c r="I4" i="8"/>
  <c r="I5" i="8"/>
  <c r="I6" i="8"/>
  <c r="I7" i="8"/>
  <c r="I8" i="8"/>
  <c r="I9" i="8"/>
  <c r="N3" i="8"/>
  <c r="N4" i="8"/>
  <c r="N5" i="8"/>
  <c r="N6" i="8"/>
  <c r="N7" i="8"/>
  <c r="N8" i="8"/>
  <c r="N9" i="8"/>
  <c r="N2" i="8"/>
  <c r="M3" i="8"/>
  <c r="M4" i="8"/>
  <c r="M5" i="8"/>
  <c r="M6" i="8"/>
  <c r="M7" i="8"/>
  <c r="M8" i="8"/>
  <c r="M9" i="8"/>
  <c r="M2" i="8"/>
  <c r="AC2" i="8" s="1"/>
  <c r="K3" i="8"/>
  <c r="K4" i="8"/>
  <c r="K5" i="8"/>
  <c r="K6" i="8"/>
  <c r="K7" i="8"/>
  <c r="K8" i="8"/>
  <c r="K9" i="8"/>
  <c r="K2" i="8"/>
  <c r="H3" i="8"/>
  <c r="H4" i="8"/>
  <c r="H5" i="8"/>
  <c r="H6" i="8"/>
  <c r="H7" i="8"/>
  <c r="H8" i="8"/>
  <c r="H9" i="8"/>
  <c r="H2" i="8"/>
  <c r="G3" i="8"/>
  <c r="G4" i="8"/>
  <c r="G5" i="8"/>
  <c r="G6" i="8"/>
  <c r="G7" i="8"/>
  <c r="G8" i="8"/>
  <c r="G9" i="8"/>
  <c r="G2" i="8"/>
  <c r="F3" i="8"/>
  <c r="F4" i="8"/>
  <c r="F5" i="8"/>
  <c r="F6" i="8"/>
  <c r="F7" i="8"/>
  <c r="F8" i="8"/>
  <c r="F9" i="8"/>
  <c r="F2" i="8"/>
  <c r="E3" i="8"/>
  <c r="E4" i="8"/>
  <c r="E5" i="8"/>
  <c r="E6" i="8"/>
  <c r="E7" i="8"/>
  <c r="E8" i="8"/>
  <c r="E9" i="8"/>
  <c r="E2" i="8"/>
  <c r="D3" i="8"/>
  <c r="D4" i="8"/>
  <c r="D5" i="8"/>
  <c r="D6" i="8"/>
  <c r="D7" i="8"/>
  <c r="D8" i="8"/>
  <c r="D9" i="8"/>
  <c r="D2" i="8"/>
  <c r="L3" i="8"/>
  <c r="L4" i="8"/>
  <c r="L5" i="8"/>
  <c r="L6" i="8"/>
  <c r="L7" i="8"/>
  <c r="L8" i="8"/>
  <c r="L9" i="8"/>
  <c r="L2" i="8"/>
  <c r="AB2" i="8" s="1"/>
  <c r="J3" i="8"/>
  <c r="J4" i="8"/>
  <c r="J5" i="8"/>
  <c r="J6" i="8"/>
  <c r="J7" i="8"/>
  <c r="J8" i="8"/>
  <c r="J9" i="8"/>
  <c r="J2" i="8"/>
  <c r="C3" i="8"/>
  <c r="C4" i="8"/>
  <c r="C5" i="8"/>
  <c r="C6" i="8"/>
  <c r="C7" i="8"/>
  <c r="C8" i="8"/>
  <c r="C9" i="8"/>
  <c r="P9" i="8" s="1"/>
  <c r="C2" i="8"/>
  <c r="B3" i="8"/>
  <c r="B4" i="8"/>
  <c r="B5" i="8"/>
  <c r="B6" i="8"/>
  <c r="B7" i="8"/>
  <c r="B8" i="8"/>
  <c r="B9" i="8"/>
  <c r="O9" i="8" s="1"/>
  <c r="B2" i="8"/>
  <c r="V2" i="8" l="1"/>
  <c r="AF2" i="8" s="1"/>
  <c r="D17" i="7" s="1"/>
  <c r="AB6" i="8"/>
  <c r="AB8" i="8"/>
  <c r="AB5" i="8"/>
  <c r="AB4" i="8"/>
  <c r="AB3" i="8"/>
  <c r="AG3" i="8" s="1"/>
  <c r="E18" i="7" s="1"/>
  <c r="V5" i="8"/>
  <c r="AF5" i="8" s="1"/>
  <c r="D20" i="7" s="1"/>
  <c r="V4" i="8"/>
  <c r="AF4" i="8" s="1"/>
  <c r="D19" i="7" s="1"/>
  <c r="AA8" i="8"/>
  <c r="Z8" i="8"/>
  <c r="AC9" i="8"/>
  <c r="AC8" i="8"/>
  <c r="AC6" i="8"/>
  <c r="AC7" i="8"/>
  <c r="Z7" i="8"/>
  <c r="AA7" i="8"/>
  <c r="AC5" i="8"/>
  <c r="AB7" i="8"/>
  <c r="AC4" i="8"/>
  <c r="AC3" i="8"/>
  <c r="AB9" i="8"/>
  <c r="Z2" i="8"/>
  <c r="AA2" i="8"/>
  <c r="AA6" i="8"/>
  <c r="Z6" i="8"/>
  <c r="AA5" i="8"/>
  <c r="AA4" i="8"/>
  <c r="Z4" i="8"/>
  <c r="Z5" i="8"/>
  <c r="AA3" i="8"/>
  <c r="Z3" i="8"/>
  <c r="AA9" i="8"/>
  <c r="Z9" i="8"/>
  <c r="Y2" i="8"/>
  <c r="AG2" i="8" s="1"/>
  <c r="E17" i="7" s="1"/>
  <c r="Y8" i="8"/>
  <c r="Y6" i="8"/>
  <c r="Y5" i="8"/>
  <c r="Y4" i="8"/>
  <c r="Y3" i="8"/>
  <c r="Y9" i="8"/>
  <c r="Y7" i="8"/>
  <c r="V8" i="8"/>
  <c r="AF8" i="8" s="1"/>
  <c r="D23" i="7" s="1"/>
  <c r="V6" i="8"/>
  <c r="AF6" i="8" s="1"/>
  <c r="D21" i="7" s="1"/>
  <c r="V3" i="8"/>
  <c r="AF3" i="8" s="1"/>
  <c r="D18" i="7" s="1"/>
  <c r="V9" i="8"/>
  <c r="AF9" i="8" s="1"/>
  <c r="D24" i="7" s="1"/>
  <c r="V7" i="8"/>
  <c r="AF7" i="8" s="1"/>
  <c r="D22" i="7" s="1"/>
  <c r="O8" i="8"/>
  <c r="S9" i="8"/>
  <c r="S7" i="8"/>
  <c r="S8" i="8"/>
  <c r="S6" i="8"/>
  <c r="S5" i="8"/>
  <c r="S4" i="8"/>
  <c r="S3" i="8"/>
  <c r="S2" i="8"/>
  <c r="Q4" i="8"/>
  <c r="Q7" i="8"/>
  <c r="Q8" i="8"/>
  <c r="Q5" i="8"/>
  <c r="Q6" i="8"/>
  <c r="Q3" i="8"/>
  <c r="Q2" i="8"/>
  <c r="Q9" i="8"/>
  <c r="O2" i="8"/>
  <c r="P2" i="8"/>
  <c r="P8" i="8"/>
  <c r="P7" i="8"/>
  <c r="P6" i="8"/>
  <c r="P4" i="8"/>
  <c r="P5" i="8"/>
  <c r="P3" i="8"/>
  <c r="O7" i="8"/>
  <c r="O6" i="8"/>
  <c r="O5" i="8"/>
  <c r="O4" i="8"/>
  <c r="O3" i="8"/>
  <c r="AG9" i="8" l="1"/>
  <c r="E24" i="7" s="1"/>
  <c r="AG4" i="8"/>
  <c r="E19" i="7" s="1"/>
  <c r="AG5" i="8"/>
  <c r="E20" i="7" s="1"/>
  <c r="AG8" i="8"/>
  <c r="E23" i="7" s="1"/>
  <c r="AG7" i="8"/>
  <c r="E22" i="7" s="1"/>
  <c r="AG6" i="8"/>
  <c r="E21" i="7" s="1"/>
  <c r="W2" i="8"/>
  <c r="X2" i="8"/>
  <c r="X6" i="8"/>
  <c r="X7" i="8"/>
  <c r="X3" i="8"/>
  <c r="X4" i="8"/>
  <c r="AE4" i="8" s="1"/>
  <c r="C19" i="7" s="1"/>
  <c r="X5" i="8"/>
  <c r="X8" i="8"/>
  <c r="AE8" i="8" s="1"/>
  <c r="C23" i="7" s="1"/>
  <c r="X9" i="8"/>
  <c r="W3" i="8"/>
  <c r="W4" i="8"/>
  <c r="W5" i="8"/>
  <c r="W9" i="8"/>
  <c r="W6" i="8"/>
  <c r="W7" i="8"/>
  <c r="W8" i="8"/>
  <c r="T8" i="8"/>
  <c r="U7" i="8"/>
  <c r="U4" i="8"/>
  <c r="U6" i="8"/>
  <c r="U2" i="8"/>
  <c r="T2" i="8"/>
  <c r="AD2" i="8" s="1"/>
  <c r="B17" i="7" s="1"/>
  <c r="U3" i="8"/>
  <c r="U8" i="8"/>
  <c r="T6" i="8"/>
  <c r="U5" i="8"/>
  <c r="U9" i="8"/>
  <c r="T7" i="8"/>
  <c r="T9" i="8"/>
  <c r="T3" i="8"/>
  <c r="T4" i="8"/>
  <c r="T5" i="8"/>
  <c r="AE3" i="8" l="1"/>
  <c r="C18" i="7" s="1"/>
  <c r="AE5" i="8"/>
  <c r="C20" i="7" s="1"/>
  <c r="AD7" i="8"/>
  <c r="B22" i="7" s="1"/>
  <c r="AE7" i="8"/>
  <c r="C22" i="7" s="1"/>
  <c r="AE9" i="8"/>
  <c r="C24" i="7" s="1"/>
  <c r="AE6" i="8"/>
  <c r="C21" i="7" s="1"/>
  <c r="AD8" i="8"/>
  <c r="B23" i="7" s="1"/>
  <c r="F23" i="7" s="1"/>
  <c r="AE2" i="8"/>
  <c r="C17" i="7" s="1"/>
  <c r="F17" i="7" s="1"/>
  <c r="AD5" i="8"/>
  <c r="B20" i="7" s="1"/>
  <c r="F20" i="7" s="1"/>
  <c r="AD6" i="8"/>
  <c r="B21" i="7" s="1"/>
  <c r="AD4" i="8"/>
  <c r="B19" i="7" s="1"/>
  <c r="F19" i="7" s="1"/>
  <c r="AD9" i="8"/>
  <c r="B24" i="7" s="1"/>
  <c r="AD3" i="8"/>
  <c r="B18" i="7" s="1"/>
  <c r="F18" i="7" s="1"/>
  <c r="F24" i="7" l="1"/>
  <c r="H24" i="7" s="1"/>
  <c r="H17" i="7"/>
  <c r="G17" i="7"/>
  <c r="G24" i="7"/>
  <c r="F22" i="7"/>
  <c r="F21" i="7"/>
  <c r="H23" i="7"/>
  <c r="G23" i="7"/>
  <c r="H20" i="7"/>
  <c r="G20" i="7"/>
  <c r="H18" i="7"/>
  <c r="G18" i="7"/>
  <c r="H19" i="7"/>
  <c r="G19" i="7"/>
  <c r="H22" i="7" l="1"/>
  <c r="G22" i="7"/>
  <c r="H21" i="7"/>
  <c r="G21" i="7"/>
</calcChain>
</file>

<file path=xl/sharedStrings.xml><?xml version="1.0" encoding="utf-8"?>
<sst xmlns="http://schemas.openxmlformats.org/spreadsheetml/2006/main" count="423" uniqueCount="142">
  <si>
    <t>Company</t>
  </si>
  <si>
    <t>Country</t>
  </si>
  <si>
    <t>Revenue_M</t>
  </si>
  <si>
    <t>Profit_M</t>
  </si>
  <si>
    <t>CashFlow_M</t>
  </si>
  <si>
    <t>Assets_M</t>
  </si>
  <si>
    <t>Debt_M</t>
  </si>
  <si>
    <t>Current_Ratio</t>
  </si>
  <si>
    <t>ROA_%</t>
  </si>
  <si>
    <t>EV_M</t>
  </si>
  <si>
    <t>MarketCap_M</t>
  </si>
  <si>
    <t>Employees</t>
  </si>
  <si>
    <t>Fleet_Size</t>
  </si>
  <si>
    <t>Ryanair</t>
  </si>
  <si>
    <t>Ireland</t>
  </si>
  <si>
    <t>EasyJet</t>
  </si>
  <si>
    <t>UK</t>
  </si>
  <si>
    <t>Wizz Air</t>
  </si>
  <si>
    <t>Hungary</t>
  </si>
  <si>
    <t>Norwegian</t>
  </si>
  <si>
    <t>Norway</t>
  </si>
  <si>
    <t>Pegasus</t>
  </si>
  <si>
    <t>Turkey</t>
  </si>
  <si>
    <t>Vueling</t>
  </si>
  <si>
    <t>Spain</t>
  </si>
  <si>
    <t>Transavia</t>
  </si>
  <si>
    <t>Netherlands</t>
  </si>
  <si>
    <t>Jet2</t>
  </si>
  <si>
    <t>GrowthRate_%</t>
  </si>
  <si>
    <t>Countries_Served</t>
  </si>
  <si>
    <t>Passengers_M</t>
  </si>
  <si>
    <t>Brand_Score</t>
  </si>
  <si>
    <t>Digital_Score</t>
  </si>
  <si>
    <t>Flights_000</t>
  </si>
  <si>
    <t>DelayRate_%</t>
  </si>
  <si>
    <t>CustomerRating</t>
  </si>
  <si>
    <t>LoadFactor_%</t>
  </si>
  <si>
    <t>CancellationRate_%</t>
  </si>
  <si>
    <t>OnTime_%</t>
  </si>
  <si>
    <t>RiskScore</t>
  </si>
  <si>
    <t>RiskLevel</t>
  </si>
  <si>
    <t>Low</t>
  </si>
  <si>
    <t>Medium</t>
  </si>
  <si>
    <t>High</t>
  </si>
  <si>
    <t>British Airways Acquisition Case</t>
  </si>
  <si>
    <t>Objectif : recommander une cible d'acquisition.</t>
  </si>
  <si>
    <t>Questions à résoudre avec Excel :</t>
  </si>
  <si>
    <t>1. Quelle compagnie a la meilleure marge bénéficiaire ?</t>
  </si>
  <si>
    <t>2. Quelle compagnie convertit le mieux son profit en cash ?</t>
  </si>
  <si>
    <t>3. Quelle compagnie présente le ratio Dette/Actifs le plus faible ?</t>
  </si>
  <si>
    <t>4. Quelle compagnie possède le meilleur potentiel de croissance ?</t>
  </si>
  <si>
    <t>5. Quelle compagnie est sous-évaluée (EV/Revenue) ?</t>
  </si>
  <si>
    <t>6. Construire un score d'attractivité d'acquisition.</t>
  </si>
  <si>
    <t>Fonctions à utiliser : SI, ET, OU, NB.SI, SOMME.SI, RECHERCHEX</t>
  </si>
  <si>
    <t>Créer au moins 2 TCD et 4 graphiques.</t>
  </si>
  <si>
    <t>Construire un dashboard exécutif.</t>
  </si>
  <si>
    <t>Year</t>
  </si>
  <si>
    <t>Month</t>
  </si>
  <si>
    <t>Flights</t>
  </si>
  <si>
    <t>FuelCost_M</t>
  </si>
  <si>
    <t>MarketingSpend_M</t>
  </si>
  <si>
    <t>CustomerAcquisition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</si>
  <si>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</si>
  <si>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</si>
  <si>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</si>
  <si>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</si>
  <si>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</si>
  <si>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</si>
  <si>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</si>
  <si>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</si>
  <si>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</si>
  <si>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</si>
  <si>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</si>
  <si>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</si>
  <si>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British Airways Acquisition Scoring Model</t>
  </si>
  <si>
    <t>Instructions</t>
  </si>
  <si>
    <t>1. Récupérer les indicateurs depuis les autres feuilles avec RECHERCHEX.</t>
  </si>
  <si>
    <t>2. Calculer les scores normalisés (0-100).</t>
  </si>
  <si>
    <t>3. Construire les sous-scores.</t>
  </si>
  <si>
    <t>4. Calculer le score global pondéré.</t>
  </si>
  <si>
    <t>5. Classer les compagnies et recommander une cible.</t>
  </si>
  <si>
    <t>Poids utilisés</t>
  </si>
  <si>
    <t>Profitability</t>
  </si>
  <si>
    <t>Risk</t>
  </si>
  <si>
    <t>Growth</t>
  </si>
  <si>
    <t>Operations</t>
  </si>
  <si>
    <t>ProfitabilityScore</t>
  </si>
  <si>
    <t>GrowthScore</t>
  </si>
  <si>
    <t>OperationsScore</t>
  </si>
  <si>
    <t>OverallScore</t>
  </si>
  <si>
    <t>Rank</t>
  </si>
  <si>
    <t>Recommendation</t>
  </si>
  <si>
    <t>Suggested Recommendation Logic</t>
  </si>
  <si>
    <t>Score &gt;= 80 =&gt; Strong Buy</t>
  </si>
  <si>
    <t>60 &lt;= Score &lt; 80 =&gt; Consider</t>
  </si>
  <si>
    <t>Score &lt; 60 =&gt; Reject</t>
  </si>
  <si>
    <t>Sensitivity Analysis</t>
  </si>
  <si>
    <t>Scenario</t>
  </si>
  <si>
    <t>Base</t>
  </si>
  <si>
    <t>Growth Focus</t>
  </si>
  <si>
    <t>Risk Focus</t>
  </si>
  <si>
    <t>Profit_margin</t>
  </si>
  <si>
    <t>Debt_ratio</t>
  </si>
  <si>
    <t>cash_conversion_ratio</t>
  </si>
  <si>
    <t>Revenue</t>
  </si>
  <si>
    <t>Profit</t>
  </si>
  <si>
    <t>Growth_rate</t>
  </si>
  <si>
    <t>Customer_rating</t>
  </si>
  <si>
    <t>Cash_flow</t>
  </si>
  <si>
    <t>Assets</t>
  </si>
  <si>
    <t>Debt</t>
  </si>
  <si>
    <t>current_ratio</t>
  </si>
  <si>
    <t>ROA</t>
  </si>
  <si>
    <t>countries_served</t>
  </si>
  <si>
    <t>Delay_rate</t>
  </si>
  <si>
    <t>Load_factor</t>
  </si>
  <si>
    <t>Growth_potential_score</t>
  </si>
  <si>
    <t>EV</t>
  </si>
  <si>
    <t>EV/Revenue</t>
  </si>
  <si>
    <t>profit_margin_norm</t>
  </si>
  <si>
    <t>cash_conv_ratio_norm</t>
  </si>
  <si>
    <t>growth_potential_norm</t>
  </si>
  <si>
    <t>EV/rev_norm</t>
  </si>
  <si>
    <t>load_factor_norm</t>
  </si>
  <si>
    <t>profitability_score</t>
  </si>
  <si>
    <t>Debt_ratio_norm</t>
  </si>
  <si>
    <t>Risk_score</t>
  </si>
  <si>
    <t>Current_ratio_norm</t>
  </si>
  <si>
    <t>ROA_norm</t>
  </si>
  <si>
    <t>Growth_score</t>
  </si>
  <si>
    <t>Customer_rating_norm</t>
  </si>
  <si>
    <t>delay_rate_norm</t>
  </si>
  <si>
    <t>operations_score</t>
  </si>
  <si>
    <t>Étiquettes de lignes</t>
  </si>
  <si>
    <t>Total général</t>
  </si>
  <si>
    <t>Somme de OverallScore</t>
  </si>
  <si>
    <t>Somme de ProfitabilityScore</t>
  </si>
  <si>
    <t>Somme de RiskScore</t>
  </si>
  <si>
    <t>Somme de GrowthScore</t>
  </si>
  <si>
    <t>Somme de OperationsScore</t>
  </si>
  <si>
    <t>Somme de Revenue_M</t>
  </si>
  <si>
    <t>British Airways Acquisition Target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</si>
</sst>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0" fontId="0" fillId="0" borderId="0" xfId="1" applyNumberFormat="1" applyFont="1"/>
    <xf numFmtId="2" fontId="0" fillId="0" borderId="0" xfId="0" applyNumberFormat="1"/>
    <xf numFmtId="10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ourcentage" xfId="1" builtinId="5"/>
  </cellStyles>
  <dxfs count="2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4" formatCode="0.00%"/>
    </dxf>
    <dxf>
      <numFmt numFmtId="2" formatCode="0.00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[BA_MA_Excel_Realistic_Case_Final.xlsx]Classement des cibles d'acquisi!Tableau croisé dynamique1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Acquisition Target Ranking</a:t>
            </a:r>
          </a:p>
        </c:rich>
      </c:tx>
      <c:layout>
        <c:manualLayout>
          <c:xMode val="edge"/>
          <c:yMode val="edge"/>
          <c:x val="0.2715693350831145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'Classement des cibles d''acquisi'!$B$3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'Classement des cibles d''acquisi'!$A$4:$A$12</c:f>
              <c:strCache>
                <c:ptCount val="8"/>
                <c:pt idx="0">
                  <c:v>Wizz Air</c:v>
                </c:pt>
                <c:pt idx="1">
                  <c:v>Vueling</c:v>
                </c:pt>
                <c:pt idx="2">
                  <c:v>Transavia</c:v>
                </c:pt>
                <c:pt idx="3">
                  <c:v>Ryanair</c:v>
                </c:pt>
                <c:pt idx="4">
                  <c:v>Pegasus</c:v>
                </c:pt>
                <c:pt idx="5">
                  <c:v>Norwegian</c:v>
                </c:pt>
                <c:pt idx="6">
                  <c:v>Jet2</c:v>
                </c:pt>
                <c:pt idx="7">
                  <c:v>EasyJet</c:v>
                </c:pt>
              </c:strCache>
            </c:strRef>
          </c:cat>
          <c:val>
            <c:numRef>
              <c:f>'Classement des cibles d''acquisi'!$B$4:$B$12</c:f>
              <c:numCache>
                <c:formatCode>0.00</c:formatCode>
                <c:ptCount val="8"/>
                <c:pt idx="0">
                  <c:v>67.572928131304806</c:v>
                </c:pt>
                <c:pt idx="1">
                  <c:v>29.876300296118501</c:v>
                </c:pt>
                <c:pt idx="2">
                  <c:v>42.849941908113493</c:v>
                </c:pt>
                <c:pt idx="3">
                  <c:v>69.987636661008025</c:v>
                </c:pt>
                <c:pt idx="4">
                  <c:v>48.067789171881792</c:v>
                </c:pt>
                <c:pt idx="5">
                  <c:v>25.582642533955681</c:v>
                </c:pt>
                <c:pt idx="6">
                  <c:v>57.584257004158587</c:v>
                </c:pt>
                <c:pt idx="7">
                  <c:v>48.580782052537643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5-43E2-BB9B-975AE0A4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7956479"/>
        <c:axId val="1177952159"/>
      </c:barChart>
      <c:catAx>
        <c:axId val="1177956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952159"/>
        <c:crosses val="autoZero"/>
        <c:auto val="1"/>
        <c:lblAlgn val="ctr"/>
        <c:lblOffset val="100"/>
        <c:noMultiLvlLbl val="0"/>
      </c:catAx>
      <c:valAx>
        <c:axId val="117795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95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[BA_MA_Excel_Realistic_Case_Final.xlsx]Décomposition des scores!Tableau croisé dynamique2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'Décomposition des scores'!$B$3</c:f>
              <c:strCache>
                <c:ptCount val="1"/>
                <c:pt idx="0">
                  <c:v>Somme de ProfitabilityScore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'Décomposition des scores'!$A$4:$A$12</c:f>
              <c:strCache>
                <c:ptCount val="8"/>
                <c:pt idx="0">
                  <c:v>EasyJet</c:v>
                </c:pt>
                <c:pt idx="1">
                  <c:v>Jet2</c:v>
                </c:pt>
                <c:pt idx="2">
                  <c:v>Norwegian</c:v>
                </c:pt>
                <c:pt idx="3">
                  <c:v>Pegasus</c:v>
                </c:pt>
                <c:pt idx="4">
                  <c:v>Ryanair</c:v>
                </c:pt>
                <c:pt idx="5">
                  <c:v>Transavia</c:v>
                </c:pt>
                <c:pt idx="6">
                  <c:v>Vueling</c:v>
                </c:pt>
                <c:pt idx="7">
                  <c:v>Wizz Air</c:v>
                </c:pt>
              </c:strCache>
            </c:strRef>
          </c:cat>
          <c:val>
            <c:numRef>
              <c:f>'Décomposition des scores'!$B$4:$B$12</c:f>
              <c:numCache>
                <c:formatCode>0.00</c:formatCode>
                <c:ptCount val="8"/>
                <c:pt idx="0">
                  <c:v>40.928446666265131</c:v>
                </c:pt>
                <c:pt idx="1">
                  <c:v>50</c:v>
                </c:pt>
                <c:pt idx="2">
                  <c:v>21.710875383537314</c:v>
                </c:pt>
                <c:pt idx="3">
                  <c:v>43.812183000796125</c:v>
                </c:pt>
                <c:pt idx="4">
                  <c:v>94.359444440143932</c:v>
                </c:pt>
                <c:pt idx="5">
                  <c:v>19.402548819905448</c:v>
                </c:pt>
                <c:pt idx="6">
                  <c:v>29.957869734655301</c:v>
                </c:pt>
                <c:pt idx="7">
                  <c:v>45.286850696550928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A-46B2-8B68-98BFC453F4BE}"/>
            </c:ext>
          </c:extLst>
        </c:ser>
        <c:ser>
          <c:idx val="1"/>
          <c:order val="1"/>
          <c:tx>
            <c:strRef>
              <c:f>'Décomposition des scores'!$C$3</c:f>
              <c:strCache>
                <c:ptCount val="1"/>
                <c:pt idx="0">
                  <c:v>Somme de RiskScore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'Décomposition des scores'!$A$4:$A$12</c:f>
              <c:strCache>
                <c:ptCount val="8"/>
                <c:pt idx="0">
                  <c:v>EasyJet</c:v>
                </c:pt>
                <c:pt idx="1">
                  <c:v>Jet2</c:v>
                </c:pt>
                <c:pt idx="2">
                  <c:v>Norwegian</c:v>
                </c:pt>
                <c:pt idx="3">
                  <c:v>Pegasus</c:v>
                </c:pt>
                <c:pt idx="4">
                  <c:v>Ryanair</c:v>
                </c:pt>
                <c:pt idx="5">
                  <c:v>Transavia</c:v>
                </c:pt>
                <c:pt idx="6">
                  <c:v>Vueling</c:v>
                </c:pt>
                <c:pt idx="7">
                  <c:v>Wizz Air</c:v>
                </c:pt>
              </c:strCache>
            </c:strRef>
          </c:cat>
          <c:val>
            <c:numRef>
              <c:f>'Décomposition des scores'!$C$4:$C$12</c:f>
              <c:numCache>
                <c:formatCode>0.00</c:formatCode>
                <c:ptCount val="8"/>
                <c:pt idx="0">
                  <c:v>65.254237288135585</c:v>
                </c:pt>
                <c:pt idx="1">
                  <c:v>37.005649717514125</c:v>
                </c:pt>
                <c:pt idx="2">
                  <c:v>59.134662532720789</c:v>
                </c:pt>
                <c:pt idx="3">
                  <c:v>41.8917612172798</c:v>
                </c:pt>
                <c:pt idx="4">
                  <c:v>34.719213315859392</c:v>
                </c:pt>
                <c:pt idx="5">
                  <c:v>55.603093631726189</c:v>
                </c:pt>
                <c:pt idx="6">
                  <c:v>53.001924239376933</c:v>
                </c:pt>
                <c:pt idx="7">
                  <c:v>57.676859096144938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7A-46B2-8B68-98BFC453F4BE}"/>
            </c:ext>
          </c:extLst>
        </c:ser>
        <c:ser>
          <c:idx val="2"/>
          <c:order val="2"/>
          <c:tx>
            <c:strRef>
              <c:f>'Décomposition des scores'!$D$3</c:f>
              <c:strCache>
                <c:ptCount val="1"/>
                <c:pt idx="0">
                  <c:v>Somme de GrowthScore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'Décomposition des scores'!$A$4:$A$12</c:f>
              <c:strCache>
                <c:ptCount val="8"/>
                <c:pt idx="0">
                  <c:v>EasyJet</c:v>
                </c:pt>
                <c:pt idx="1">
                  <c:v>Jet2</c:v>
                </c:pt>
                <c:pt idx="2">
                  <c:v>Norwegian</c:v>
                </c:pt>
                <c:pt idx="3">
                  <c:v>Pegasus</c:v>
                </c:pt>
                <c:pt idx="4">
                  <c:v>Ryanair</c:v>
                </c:pt>
                <c:pt idx="5">
                  <c:v>Transavia</c:v>
                </c:pt>
                <c:pt idx="6">
                  <c:v>Vueling</c:v>
                </c:pt>
                <c:pt idx="7">
                  <c:v>Wizz Air</c:v>
                </c:pt>
              </c:strCache>
            </c:strRef>
          </c:cat>
          <c:val>
            <c:numRef>
              <c:f>'Décomposition des scores'!$D$4:$D$12</c:f>
              <c:numCache>
                <c:formatCode>0.00</c:formatCode>
                <c:ptCount val="8"/>
                <c:pt idx="0">
                  <c:v>48.240469208211145</c:v>
                </c:pt>
                <c:pt idx="1">
                  <c:v>57.331378299120217</c:v>
                </c:pt>
                <c:pt idx="2">
                  <c:v>0</c:v>
                </c:pt>
                <c:pt idx="3">
                  <c:v>53.519061583577695</c:v>
                </c:pt>
                <c:pt idx="4">
                  <c:v>100</c:v>
                </c:pt>
                <c:pt idx="5">
                  <c:v>31.085043988269799</c:v>
                </c:pt>
                <c:pt idx="6">
                  <c:v>15.982404692082131</c:v>
                </c:pt>
                <c:pt idx="7">
                  <c:v>99.413489736070332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7A-46B2-8B68-98BFC453F4BE}"/>
            </c:ext>
          </c:extLst>
        </c:ser>
        <c:ser>
          <c:idx val="3"/>
          <c:order val="3"/>
          <c:tx>
            <c:strRef>
              <c:f>'Décomposition des scores'!$E$3</c:f>
              <c:strCache>
                <c:ptCount val="1"/>
                <c:pt idx="0">
                  <c:v>Somme de OperationsScore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'Décomposition des scores'!$A$4:$A$12</c:f>
              <c:strCache>
                <c:ptCount val="8"/>
                <c:pt idx="0">
                  <c:v>EasyJet</c:v>
                </c:pt>
                <c:pt idx="1">
                  <c:v>Jet2</c:v>
                </c:pt>
                <c:pt idx="2">
                  <c:v>Norwegian</c:v>
                </c:pt>
                <c:pt idx="3">
                  <c:v>Pegasus</c:v>
                </c:pt>
                <c:pt idx="4">
                  <c:v>Ryanair</c:v>
                </c:pt>
                <c:pt idx="5">
                  <c:v>Transavia</c:v>
                </c:pt>
                <c:pt idx="6">
                  <c:v>Vueling</c:v>
                </c:pt>
                <c:pt idx="7">
                  <c:v>Wizz Air</c:v>
                </c:pt>
              </c:strCache>
            </c:strRef>
          </c:cat>
          <c:val>
            <c:numRef>
              <c:f>'Décomposition des scores'!$E$4:$E$12</c:f>
              <c:numCache>
                <c:formatCode>0.00</c:formatCode>
                <c:ptCount val="8"/>
                <c:pt idx="0">
                  <c:v>39.642857142857125</c:v>
                </c:pt>
                <c:pt idx="1">
                  <c:v>95</c:v>
                </c:pt>
                <c:pt idx="2">
                  <c:v>21.428571428571438</c:v>
                </c:pt>
                <c:pt idx="3">
                  <c:v>55.357142857142875</c:v>
                </c:pt>
                <c:pt idx="4">
                  <c:v>40</c:v>
                </c:pt>
                <c:pt idx="5">
                  <c:v>76.785714285714306</c:v>
                </c:pt>
                <c:pt idx="6">
                  <c:v>18.214285714285719</c:v>
                </c:pt>
                <c:pt idx="7">
                  <c:v>73.571428571428555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7A-46B2-8B68-98BFC453F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1184703"/>
        <c:axId val="1391185183"/>
      </c:barChart>
      <c:catAx>
        <c:axId val="1391184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185183"/>
        <c:crosses val="autoZero"/>
        <c:auto val="1"/>
        <c:lblAlgn val="ctr"/>
        <c:lblOffset val="100"/>
        <c:noMultiLvlLbl val="0"/>
      </c:catAx>
      <c:valAx>
        <c:axId val="139118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18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[BA_MA_Excel_Realistic_Case_Final.xlsx]Monthly_Performance!Tableau croisé dynamique7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Monthly_Performance!$M$7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Monthly_Performance!$L$8:$L$32</c:f>
              <c:multiLvlStrCache>
                <c:ptCount val="12"/>
                <c:lvl>
                  <c:pt idx="0">
                    <c:v>Jet2</c:v>
                  </c:pt>
                  <c:pt idx="1">
                    <c:v>Jet2</c:v>
                  </c:pt>
                  <c:pt idx="2">
                    <c:v>Jet2</c:v>
                  </c:pt>
                  <c:pt idx="3">
                    <c:v>Jet2</c:v>
                  </c:pt>
                  <c:pt idx="4">
                    <c:v>Jet2</c:v>
                  </c:pt>
                  <c:pt idx="5">
                    <c:v>Jet2</c:v>
                  </c:pt>
                  <c:pt idx="6">
                    <c:v>Jet2</c:v>
                  </c:pt>
                  <c:pt idx="7">
                    <c:v>Jet2</c:v>
                  </c:pt>
                  <c:pt idx="8">
                    <c:v>Jet2</c:v>
                  </c:pt>
                  <c:pt idx="9">
                    <c:v>Jet2</c:v>
                  </c:pt>
                  <c:pt idx="10">
                    <c:v>Jet2</c:v>
                  </c:pt>
                  <c:pt idx="11">
                    <c:v>Jet2</c:v>
                  </c:pt>
                </c:lvl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Mar</c:v>
                  </c:pt>
                  <c:pt idx="4">
                    <c:v>Apr</c:v>
                  </c:pt>
                  <c:pt idx="5">
                    <c:v>Aug</c:v>
                  </c:pt>
                  <c:pt idx="6">
                    <c:v>Feb</c:v>
                  </c:pt>
                  <c:pt idx="7">
                    <c:v>Jan</c:v>
                  </c:pt>
                  <c:pt idx="8">
                    <c:v>Jul</c:v>
                  </c:pt>
                  <c:pt idx="9">
                    <c:v>Jun</c:v>
                  </c:pt>
                  <c:pt idx="10">
                    <c:v>May</c:v>
                  </c:pt>
                  <c:pt idx="11">
                    <c:v>Sep</c:v>
                  </c:pt>
                </c:lvl>
              </c:multiLvlStrCache>
            </c:multiLvlStrRef>
          </c:cat>
          <c:val>
            <c:numRef>
              <c:f>Monthly_Performance!$M$8:$M$32</c:f>
              <c:numCache>
                <c:formatCode>General</c:formatCode>
                <c:ptCount val="12"/>
                <c:pt idx="0">
                  <c:v>282.89999999999998</c:v>
                </c:pt>
                <c:pt idx="1">
                  <c:v>283.89999999999998</c:v>
                </c:pt>
                <c:pt idx="2">
                  <c:v>277</c:v>
                </c:pt>
                <c:pt idx="3">
                  <c:v>295.60000000000002</c:v>
                </c:pt>
                <c:pt idx="4">
                  <c:v>280</c:v>
                </c:pt>
                <c:pt idx="5">
                  <c:v>379.9</c:v>
                </c:pt>
                <c:pt idx="6">
                  <c:v>246.7</c:v>
                </c:pt>
                <c:pt idx="7">
                  <c:v>245.1</c:v>
                </c:pt>
                <c:pt idx="8">
                  <c:v>352.7</c:v>
                </c:pt>
                <c:pt idx="9">
                  <c:v>358.9</c:v>
                </c:pt>
                <c:pt idx="10">
                  <c:v>286.10000000000002</c:v>
                </c:pt>
                <c:pt idx="11">
                  <c:v>288.8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2-48C2-B50F-D9060C537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163583"/>
        <c:axId val="1391165023"/>
      </c:lineChart>
      <c:catAx>
        <c:axId val="13911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165023"/>
        <c:crosses val="autoZero"/>
        <c:auto val="1"/>
        <c:lblAlgn val="ctr"/>
        <c:lblOffset val="100"/>
        <c:noMultiLvlLbl val="0"/>
      </c:catAx>
      <c:valAx>
        <c:axId val="139116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1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[BA_MA_Excel_Realistic_Case_Final.xlsx]Acquisition_Scoring_Model!Tableau croisé dynamique6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Acquisition_Scoring_Model!$J$26</c:f>
              <c:strCache>
                <c:ptCount val="1"/>
                <c:pt idx="0">
                  <c:v>Somme de RiskScore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Acquisition_Scoring_Model!$I$27:$I$35</c:f>
              <c:strCache>
                <c:ptCount val="8"/>
                <c:pt idx="0">
                  <c:v>EasyJet</c:v>
                </c:pt>
                <c:pt idx="1">
                  <c:v>Jet2</c:v>
                </c:pt>
                <c:pt idx="2">
                  <c:v>Norwegian</c:v>
                </c:pt>
                <c:pt idx="3">
                  <c:v>Pegasus</c:v>
                </c:pt>
                <c:pt idx="4">
                  <c:v>Ryanair</c:v>
                </c:pt>
                <c:pt idx="5">
                  <c:v>Transavia</c:v>
                </c:pt>
                <c:pt idx="6">
                  <c:v>Vueling</c:v>
                </c:pt>
                <c:pt idx="7">
                  <c:v>Wizz Air</c:v>
                </c:pt>
              </c:strCache>
            </c:strRef>
          </c:cat>
          <c:val>
            <c:numRef>
              <c:f>Acquisition_Scoring_Model!$J$27:$J$35</c:f>
              <c:numCache>
                <c:formatCode>0.00</c:formatCode>
                <c:ptCount val="8"/>
                <c:pt idx="0">
                  <c:v>65.254237288135585</c:v>
                </c:pt>
                <c:pt idx="1">
                  <c:v>37.005649717514125</c:v>
                </c:pt>
                <c:pt idx="2">
                  <c:v>59.134662532720789</c:v>
                </c:pt>
                <c:pt idx="3">
                  <c:v>41.8917612172798</c:v>
                </c:pt>
                <c:pt idx="4">
                  <c:v>34.719213315859392</c:v>
                </c:pt>
                <c:pt idx="5">
                  <c:v>55.603093631726189</c:v>
                </c:pt>
                <c:pt idx="6">
                  <c:v>53.001924239376933</c:v>
                </c:pt>
                <c:pt idx="7">
                  <c:v>57.676859096144938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B-46E0-88BC-A85C4C30C6E9}"/>
            </c:ext>
          </c:extLst>
        </c:ser>
        <c:ser>
          <c:idx val="1"/>
          <c:order val="1"/>
          <c:tx>
            <c:strRef>
              <c:f>Acquisition_Scoring_Model!$K$26</c:f>
              <c:strCache>
                <c:ptCount val="1"/>
                <c:pt idx="0">
                  <c:v>Somme de GrowthScore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Acquisition_Scoring_Model!$I$27:$I$35</c:f>
              <c:strCache>
                <c:ptCount val="8"/>
                <c:pt idx="0">
                  <c:v>EasyJet</c:v>
                </c:pt>
                <c:pt idx="1">
                  <c:v>Jet2</c:v>
                </c:pt>
                <c:pt idx="2">
                  <c:v>Norwegian</c:v>
                </c:pt>
                <c:pt idx="3">
                  <c:v>Pegasus</c:v>
                </c:pt>
                <c:pt idx="4">
                  <c:v>Ryanair</c:v>
                </c:pt>
                <c:pt idx="5">
                  <c:v>Transavia</c:v>
                </c:pt>
                <c:pt idx="6">
                  <c:v>Vueling</c:v>
                </c:pt>
                <c:pt idx="7">
                  <c:v>Wizz Air</c:v>
                </c:pt>
              </c:strCache>
            </c:strRef>
          </c:cat>
          <c:val>
            <c:numRef>
              <c:f>Acquisition_Scoring_Model!$K$27:$K$35</c:f>
              <c:numCache>
                <c:formatCode>0.00</c:formatCode>
                <c:ptCount val="8"/>
                <c:pt idx="0">
                  <c:v>48.240469208211145</c:v>
                </c:pt>
                <c:pt idx="1">
                  <c:v>57.331378299120217</c:v>
                </c:pt>
                <c:pt idx="2">
                  <c:v>0</c:v>
                </c:pt>
                <c:pt idx="3">
                  <c:v>53.519061583577695</c:v>
                </c:pt>
                <c:pt idx="4">
                  <c:v>100</c:v>
                </c:pt>
                <c:pt idx="5">
                  <c:v>31.085043988269799</c:v>
                </c:pt>
                <c:pt idx="6">
                  <c:v>15.982404692082131</c:v>
                </c:pt>
                <c:pt idx="7">
                  <c:v>99.413489736070332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B-46E0-88BC-A85C4C30C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184223"/>
        <c:axId val="1391159263"/>
      </c:barChart>
      <c:catAx>
        <c:axId val="139118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159263"/>
        <c:crosses val="autoZero"/>
        <c:auto val="1"/>
        <c:lblAlgn val="ctr"/>
        <c:lblOffset val="100"/>
        <c:noMultiLvlLbl val="0"/>
      </c:catAx>
      <c:valAx>
        <c:axId val="139115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18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4</xdr:row>
      <xdr:rowOff>53340</xdr:rowOff>
    </xdr:from>
    <xdr:to>
      <xdr:col>2</xdr:col>
      <xdr:colOff>30480</xdr:colOff>
      <xdr:row>7</xdr:row>
      <xdr:rowOff>121920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55447CE-3AD1-A93D-B4FD-9E716636953F}"/>
            </a:ext>
          </a:extLst>
        </xdr:cNvPr>
        <xdr:cNvSpPr/>
      </xdr:nvSpPr>
      <xdr:spPr>
        <a:xfrm>
          <a:off x="548640" y="784860"/>
          <a:ext cx="1066800" cy="61722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  Top target</a:t>
          </a:r>
        </a:p>
        <a:p>
          <a:pPr algn="l"/>
          <a:endParaRPr lang="fr-FR" sz="1100" b="1">
            <a:solidFill>
              <a:sysClr val="windowText" lastClr="000000"/>
            </a:solidFill>
          </a:endParaRPr>
        </a:p>
        <a:p>
          <a:pPr algn="l"/>
          <a:r>
            <a:rPr lang="fr-FR" sz="1100">
              <a:solidFill>
                <a:sysClr val="windowText" lastClr="000000"/>
              </a:solidFill>
            </a:rPr>
            <a:t>     Ryanair</a:t>
          </a:r>
        </a:p>
      </xdr:txBody>
    </xdr:sp>
    <xdr:clientData/>
  </xdr:twoCellAnchor>
  <xdr:twoCellAnchor>
    <xdr:from>
      <xdr:col>2</xdr:col>
      <xdr:colOff>647700</xdr:colOff>
      <xdr:row>4</xdr:row>
      <xdr:rowOff>7620</xdr:rowOff>
    </xdr:from>
    <xdr:to>
      <xdr:col>4</xdr:col>
      <xdr:colOff>152400</xdr:colOff>
      <xdr:row>7</xdr:row>
      <xdr:rowOff>144780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3CC093-695D-7673-E467-26A7145C1DDD}"/>
            </a:ext>
          </a:extLst>
        </xdr:cNvPr>
        <xdr:cNvSpPr/>
      </xdr:nvSpPr>
      <xdr:spPr>
        <a:xfrm>
          <a:off x="2232660" y="739140"/>
          <a:ext cx="1089660" cy="68580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  </a:t>
          </a:r>
          <a:r>
            <a:rPr lang="fr-FR" sz="1100" b="1">
              <a:solidFill>
                <a:sysClr val="windowText" lastClr="000000"/>
              </a:solidFill>
            </a:rPr>
            <a:t>Best score</a:t>
          </a:r>
        </a:p>
        <a:p>
          <a:pPr algn="l"/>
          <a:endParaRPr lang="fr-FR" sz="1100">
            <a:solidFill>
              <a:sysClr val="windowText" lastClr="000000"/>
            </a:solidFill>
          </a:endParaRPr>
        </a:p>
        <a:p>
          <a:pPr algn="l"/>
          <a:r>
            <a:rPr lang="fr-FR" sz="1100">
              <a:solidFill>
                <a:sysClr val="windowText" lastClr="000000"/>
              </a:solidFill>
            </a:rPr>
            <a:t>       69,99</a:t>
          </a:r>
        </a:p>
      </xdr:txBody>
    </xdr:sp>
    <xdr:clientData/>
  </xdr:twoCellAnchor>
  <xdr:twoCellAnchor>
    <xdr:from>
      <xdr:col>5</xdr:col>
      <xdr:colOff>53340</xdr:colOff>
      <xdr:row>4</xdr:row>
      <xdr:rowOff>15240</xdr:rowOff>
    </xdr:from>
    <xdr:to>
      <xdr:col>6</xdr:col>
      <xdr:colOff>342900</xdr:colOff>
      <xdr:row>7</xdr:row>
      <xdr:rowOff>167640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A1AE9C6-2383-F609-07BF-E59E69D81527}"/>
            </a:ext>
          </a:extLst>
        </xdr:cNvPr>
        <xdr:cNvSpPr/>
      </xdr:nvSpPr>
      <xdr:spPr>
        <a:xfrm>
          <a:off x="4015740" y="746760"/>
          <a:ext cx="1082040" cy="70104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  Companies</a:t>
          </a:r>
        </a:p>
        <a:p>
          <a:pPr algn="l"/>
          <a:r>
            <a:rPr lang="fr-FR" sz="1100" baseline="0">
              <a:solidFill>
                <a:sysClr val="windowText" lastClr="000000"/>
              </a:solidFill>
            </a:rPr>
            <a:t>          </a:t>
          </a:r>
        </a:p>
        <a:p>
          <a:pPr algn="l"/>
          <a:r>
            <a:rPr lang="fr-FR" sz="1100" baseline="0">
              <a:solidFill>
                <a:sysClr val="windowText" lastClr="000000"/>
              </a:solidFill>
            </a:rPr>
            <a:t>           </a:t>
          </a:r>
          <a:r>
            <a:rPr lang="fr-FR" sz="11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7</xdr:col>
      <xdr:colOff>289560</xdr:colOff>
      <xdr:row>4</xdr:row>
      <xdr:rowOff>7620</xdr:rowOff>
    </xdr:from>
    <xdr:to>
      <xdr:col>8</xdr:col>
      <xdr:colOff>586740</xdr:colOff>
      <xdr:row>7</xdr:row>
      <xdr:rowOff>175260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DCDE89B-0C43-7B5D-8898-BD71A403DACB}"/>
            </a:ext>
          </a:extLst>
        </xdr:cNvPr>
        <xdr:cNvSpPr/>
      </xdr:nvSpPr>
      <xdr:spPr>
        <a:xfrm>
          <a:off x="5836920" y="739140"/>
          <a:ext cx="1089660" cy="71628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   Scenario</a:t>
          </a:r>
        </a:p>
        <a:p>
          <a:pPr algn="l"/>
          <a:r>
            <a:rPr lang="fr-FR">
              <a:solidFill>
                <a:sysClr val="windowText" lastClr="000000"/>
              </a:solidFill>
            </a:rPr>
            <a:t>Eastern Europe Expansion</a:t>
          </a:r>
          <a:endParaRPr lang="fr-F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30480</xdr:colOff>
      <xdr:row>9</xdr:row>
      <xdr:rowOff>53340</xdr:rowOff>
    </xdr:from>
    <xdr:to>
      <xdr:col>5</xdr:col>
      <xdr:colOff>640080</xdr:colOff>
      <xdr:row>24</xdr:row>
      <xdr:rowOff>53340</xdr:rowOff>
    </xdr:to>
    <xdr:graphicFrame macro="">
      <xdr:nvGraphicFramePr>
        <xdr:cNvPr id="7" name="Graphique 2">
          <a:extLst>
            <a:ext uri="{FF2B5EF4-FFF2-40B4-BE49-F238E27FC236}">
              <a16:creationId xmlns:a16="http://schemas.microsoft.com/office/drawing/2014/main" id="{83A30153-4643-034F-9524-0F0650ABA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9</xdr:row>
      <xdr:rowOff>80010</xdr:rowOff>
    </xdr:from>
    <xdr:to>
      <xdr:col>11</xdr:col>
      <xdr:colOff>655320</xdr:colOff>
      <xdr:row>24</xdr:row>
      <xdr:rowOff>80010</xdr:rowOff>
    </xdr:to>
    <xdr:graphicFrame macro="">
      <xdr:nvGraphicFramePr>
        <xdr:cNvPr id="8" name="Graphique 2">
          <a:extLst>
            <a:ext uri="{FF2B5EF4-FFF2-40B4-BE49-F238E27FC236}">
              <a16:creationId xmlns:a16="http://schemas.microsoft.com/office/drawing/2014/main" id="{06274872-5B59-6492-64DE-E5DE3875A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179296</xdr:colOff>
      <xdr:row>26</xdr:row>
      <xdr:rowOff>44825</xdr:rowOff>
    </xdr:from>
    <xdr:to>
      <xdr:col>12</xdr:col>
      <xdr:colOff>71718</xdr:colOff>
      <xdr:row>41</xdr:row>
      <xdr:rowOff>98612</xdr:rowOff>
    </xdr:to>
    <xdr:graphicFrame macro="">
      <xdr:nvGraphicFramePr>
        <xdr:cNvPr id="9" name="Graphique 1">
          <a:extLst>
            <a:ext uri="{FF2B5EF4-FFF2-40B4-BE49-F238E27FC236}">
              <a16:creationId xmlns:a16="http://schemas.microsoft.com/office/drawing/2014/main" id="{2F1BC9B1-E5C8-0BCC-73B4-8CE646723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83821</xdr:colOff>
      <xdr:row>26</xdr:row>
      <xdr:rowOff>62752</xdr:rowOff>
    </xdr:from>
    <xdr:to>
      <xdr:col>5</xdr:col>
      <xdr:colOff>636494</xdr:colOff>
      <xdr:row>41</xdr:row>
      <xdr:rowOff>106903</xdr:rowOff>
    </xdr:to>
    <xdr:graphicFrame macro="">
      <xdr:nvGraphicFramePr>
        <xdr:cNvPr id="10" name="Graphique 1">
          <a:extLst>
            <a:ext uri="{FF2B5EF4-FFF2-40B4-BE49-F238E27FC236}">
              <a16:creationId xmlns:a16="http://schemas.microsoft.com/office/drawing/2014/main" id="{D33EF3E6-22CA-07F1-0926-816B4B4EF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304799</xdr:colOff>
      <xdr:row>45</xdr:row>
      <xdr:rowOff>170328</xdr:rowOff>
    </xdr:from>
    <xdr:to>
      <xdr:col>10</xdr:col>
      <xdr:colOff>206187</xdr:colOff>
      <xdr:row>57</xdr:row>
      <xdr:rowOff>143435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9C775BB-AD8F-3108-C927-24F2C5ABDB93}"/>
            </a:ext>
          </a:extLst>
        </xdr:cNvPr>
        <xdr:cNvSpPr/>
      </xdr:nvSpPr>
      <xdr:spPr>
        <a:xfrm>
          <a:off x="304799" y="8238563"/>
          <a:ext cx="7790329" cy="212463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Key Findings</a:t>
          </a:r>
        </a:p>
        <a:p>
          <a:pPr algn="l"/>
          <a:endParaRPr lang="fr-FR" sz="1100">
            <a:solidFill>
              <a:sysClr val="windowText" lastClr="000000"/>
            </a:solidFill>
          </a:endParaRPr>
        </a:p>
        <a:p>
          <a:pPr algn="l"/>
          <a:r>
            <a:rPr lang="fr-FR" sz="1100">
              <a:solidFill>
                <a:sysClr val="windowText" lastClr="000000"/>
              </a:solidFill>
            </a:rPr>
            <a:t>• Ryanair achieved the highest overall score due to strong profitability and market leadership.</a:t>
          </a:r>
        </a:p>
        <a:p>
          <a:pPr algn="l"/>
          <a:endParaRPr lang="fr-FR" sz="1100">
            <a:solidFill>
              <a:sysClr val="windowText" lastClr="000000"/>
            </a:solidFill>
          </a:endParaRPr>
        </a:p>
        <a:p>
          <a:pPr algn="l"/>
          <a:r>
            <a:rPr lang="fr-FR" sz="1100">
              <a:solidFill>
                <a:sysClr val="windowText" lastClr="000000"/>
              </a:solidFill>
            </a:rPr>
            <a:t>• Wizz Air ranked second and showed the strongest growth profile, making it a compelling candidate for Eastern European expansion.</a:t>
          </a:r>
        </a:p>
        <a:p>
          <a:pPr algn="l"/>
          <a:endParaRPr lang="fr-FR" sz="1100">
            <a:solidFill>
              <a:sysClr val="windowText" lastClr="000000"/>
            </a:solidFill>
          </a:endParaRPr>
        </a:p>
        <a:p>
          <a:pPr algn="l"/>
          <a:r>
            <a:rPr lang="fr-FR" sz="1100">
              <a:solidFill>
                <a:sysClr val="windowText" lastClr="000000"/>
              </a:solidFill>
            </a:rPr>
            <a:t>• Jet2 demonstrated excellent operational performance but weaker growth prospects.</a:t>
          </a:r>
        </a:p>
        <a:p>
          <a:pPr algn="l"/>
          <a:endParaRPr lang="fr-FR" sz="1100">
            <a:solidFill>
              <a:sysClr val="windowText" lastClr="000000"/>
            </a:solidFill>
          </a:endParaRPr>
        </a:p>
        <a:p>
          <a:pPr algn="l"/>
          <a:r>
            <a:rPr lang="fr-FR" sz="1100" b="1">
              <a:solidFill>
                <a:sysClr val="windowText" lastClr="000000"/>
              </a:solidFill>
            </a:rPr>
            <a:t>Recommendation</a:t>
          </a:r>
        </a:p>
        <a:p>
          <a:pPr algn="l"/>
          <a:endParaRPr lang="fr-FR" sz="1100">
            <a:solidFill>
              <a:sysClr val="windowText" lastClr="000000"/>
            </a:solidFill>
          </a:endParaRPr>
        </a:p>
        <a:p>
          <a:pPr algn="l"/>
          <a:r>
            <a:rPr lang="fr-FR" sz="1100">
              <a:solidFill>
                <a:sysClr val="windowText" lastClr="000000"/>
              </a:solidFill>
            </a:rPr>
            <a:t>From a purely financial perspective, Ryanair is the preferred acquisition target.</a:t>
          </a:r>
        </a:p>
        <a:p>
          <a:pPr algn="l"/>
          <a:endParaRPr lang="fr-FR" sz="1100">
            <a:solidFill>
              <a:sysClr val="windowText" lastClr="000000"/>
            </a:solidFill>
          </a:endParaRPr>
        </a:p>
        <a:p>
          <a:pPr algn="l"/>
          <a:r>
            <a:rPr lang="fr-FR" sz="1100"/>
            <a:t>From a strategic expansion perspective, Wizz Air offers the best balance between growth potential and regional market access.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i" refreshedDate="46190.616581481481" createdVersion="8" refreshedVersion="8" minRefreshableVersion="3" recordCount="8" xr:uid="{481FFD46-06E0-4850-99FD-B3F41119F9E9}">
  <cacheSource type="worksheet">
    <worksheetSource ref="A16:H24" sheet="Acquisition_Scoring_Model"/>
  </cacheSource>
  <cacheFields count="8">
    <cacheField name="Company" numFmtId="0">
      <sharedItems count="8">
        <s v="Ryanair"/>
        <s v="EasyJet"/>
        <s v="Wizz Air"/>
        <s v="Norwegian"/>
        <s v="Pegasus"/>
        <s v="Vueling"/>
        <s v="Transavia"/>
        <s v="Jet2"/>
      </sharedItems>
    </cacheField>
    <cacheField name="ProfitabilityScore" numFmtId="2">
      <sharedItems containsSemiMixedTypes="0" containsString="0" containsNumber="1" minValue="19.402548819905448" maxValue="94.359444440143932"/>
    </cacheField>
    <cacheField name="RiskScore" numFmtId="2">
      <sharedItems containsSemiMixedTypes="0" containsString="0" containsNumber="1" minValue="34.719213315859392" maxValue="65.254237288135585"/>
    </cacheField>
    <cacheField name="GrowthScore" numFmtId="2">
      <sharedItems containsSemiMixedTypes="0" containsString="0" containsNumber="1" minValue="0" maxValue="100"/>
    </cacheField>
    <cacheField name="OperationsScore" numFmtId="2">
      <sharedItems containsSemiMixedTypes="0" containsString="0" containsNumber="1" minValue="18.214285714285719" maxValue="95"/>
    </cacheField>
    <cacheField name="OverallScore" numFmtId="2">
      <sharedItems containsSemiMixedTypes="0" containsString="0" containsNumber="1" minValue="25.582642533955681" maxValue="69.987636661008025"/>
    </cacheField>
    <cacheField name="Rank" numFmtId="0">
      <sharedItems containsSemiMixedTypes="0" containsString="0" containsNumber="1" containsInteger="1" minValue="1" maxValue="8"/>
    </cacheField>
    <cacheField name="Recommend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i" refreshedDate="46190.906625694442" createdVersion="8" refreshedVersion="8" minRefreshableVersion="3" recordCount="96" xr:uid="{A3D43D8B-3B58-4E79-A692-2B86FBFD3ABB}">
  <cacheSource type="worksheet">
    <worksheetSource ref="A1:J97" sheet="Monthly_Performance"/>
  </cacheSource>
  <cacheFields count="10">
    <cacheField name="Company" numFmtId="0">
      <sharedItems count="8">
        <s v="Ryanair"/>
        <s v="EasyJet"/>
        <s v="Wizz Air"/>
        <s v="Norwegian"/>
        <s v="Pegasus"/>
        <s v="Vueling"/>
        <s v="Transavia"/>
        <s v="Jet2"/>
      </sharedItems>
    </cacheField>
    <cacheField name="Year" numFmtId="0">
      <sharedItems containsSemiMixedTypes="0" containsString="0" containsNumber="1" containsInteger="1" minValue="2021" maxValue="2021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venue_M" numFmtId="0">
      <sharedItems containsSemiMixedTypes="0" containsString="0" containsNumber="1" minValue="131.80000000000001" maxValue="770.1"/>
    </cacheField>
    <cacheField name="Passengers_M" numFmtId="0">
      <sharedItems containsSemiMixedTypes="0" containsString="0" containsNumber="1" minValue="1.31" maxValue="20.29"/>
    </cacheField>
    <cacheField name="Flights" numFmtId="0">
      <sharedItems containsSemiMixedTypes="0" containsString="0" containsNumber="1" containsInteger="1" minValue="55" maxValue="340"/>
    </cacheField>
    <cacheField name="FuelCost_M" numFmtId="0">
      <sharedItems containsSemiMixedTypes="0" containsString="0" containsNumber="1" minValue="28.2" maxValue="161.69999999999999"/>
    </cacheField>
    <cacheField name="MarketingSpend_M" numFmtId="0">
      <sharedItems containsSemiMixedTypes="0" containsString="0" containsNumber="1" minValue="3.2" maxValue="13.6"/>
    </cacheField>
    <cacheField name="CustomerAcquisition" numFmtId="0">
      <sharedItems containsSemiMixedTypes="0" containsString="0" containsNumber="1" containsInteger="1" minValue="18402" maxValue="203322"/>
    </cacheField>
    <cacheField name="LoadFactor_%" numFmtId="0">
      <sharedItems containsSemiMixedTypes="0" containsString="0" containsNumber="1" minValue="84.3" maxValue="95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94.359444440143932"/>
    <n v="34.719213315859392"/>
    <n v="100"/>
    <n v="40"/>
    <n v="69.987636661008025"/>
    <n v="1"/>
    <s v="consider"/>
  </r>
  <r>
    <x v="1"/>
    <n v="40.928446666265131"/>
    <n v="65.254237288135585"/>
    <n v="48.240469208211145"/>
    <n v="39.642857142857125"/>
    <n v="48.580782052537643"/>
    <n v="4"/>
    <s v="reject"/>
  </r>
  <r>
    <x v="2"/>
    <n v="45.286850696550928"/>
    <n v="57.676859096144938"/>
    <n v="99.413489736070332"/>
    <n v="73.571428571428555"/>
    <n v="67.572928131304806"/>
    <n v="2"/>
    <s v="consider"/>
  </r>
  <r>
    <x v="3"/>
    <n v="21.710875383537314"/>
    <n v="59.134662532720789"/>
    <n v="0"/>
    <n v="21.428571428571438"/>
    <n v="25.582642533955681"/>
    <n v="8"/>
    <s v="reject"/>
  </r>
  <r>
    <x v="4"/>
    <n v="43.812183000796125"/>
    <n v="41.8917612172798"/>
    <n v="53.519061583577695"/>
    <n v="55.357142857142875"/>
    <n v="48.067789171881792"/>
    <n v="5"/>
    <s v="reject"/>
  </r>
  <r>
    <x v="5"/>
    <n v="29.957869734655301"/>
    <n v="53.001924239376933"/>
    <n v="15.982404692082131"/>
    <n v="18.214285714285719"/>
    <n v="29.876300296118501"/>
    <n v="7"/>
    <s v="reject"/>
  </r>
  <r>
    <x v="6"/>
    <n v="19.402548819905448"/>
    <n v="55.603093631726189"/>
    <n v="31.085043988269799"/>
    <n v="76.785714285714306"/>
    <n v="42.849941908113493"/>
    <n v="6"/>
    <s v="reject"/>
  </r>
  <r>
    <x v="7"/>
    <n v="50"/>
    <n v="37.005649717514125"/>
    <n v="57.331378299120217"/>
    <n v="95"/>
    <n v="57.584257004158587"/>
    <n v="3"/>
    <s v="rejec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n v="2021"/>
    <x v="0"/>
    <n v="526.4"/>
    <n v="12.64"/>
    <n v="235"/>
    <n v="101"/>
    <n v="12.4"/>
    <n v="183514"/>
    <n v="94.6"/>
  </r>
  <r>
    <x v="0"/>
    <n v="2021"/>
    <x v="1"/>
    <n v="549.79999999999995"/>
    <n v="13.11"/>
    <n v="223"/>
    <n v="109.7"/>
    <n v="11.2"/>
    <n v="174736"/>
    <n v="94.3"/>
  </r>
  <r>
    <x v="0"/>
    <n v="2021"/>
    <x v="2"/>
    <n v="644.70000000000005"/>
    <n v="14.9"/>
    <n v="278"/>
    <n v="119.4"/>
    <n v="12.1"/>
    <n v="199213"/>
    <n v="92.9"/>
  </r>
  <r>
    <x v="0"/>
    <n v="2021"/>
    <x v="3"/>
    <n v="626"/>
    <n v="15.62"/>
    <n v="273"/>
    <n v="124.7"/>
    <n v="10.9"/>
    <n v="198716"/>
    <n v="92.5"/>
  </r>
  <r>
    <x v="0"/>
    <n v="2021"/>
    <x v="4"/>
    <n v="651.9"/>
    <n v="15.87"/>
    <n v="282"/>
    <n v="126.4"/>
    <n v="12.8"/>
    <n v="170612"/>
    <n v="91.7"/>
  </r>
  <r>
    <x v="0"/>
    <n v="2021"/>
    <x v="5"/>
    <n v="755.6"/>
    <n v="19.07"/>
    <n v="326"/>
    <n v="161.69999999999999"/>
    <n v="11.2"/>
    <n v="174114"/>
    <n v="90.2"/>
  </r>
  <r>
    <x v="0"/>
    <n v="2021"/>
    <x v="6"/>
    <n v="770.1"/>
    <n v="20.29"/>
    <n v="323"/>
    <n v="152.30000000000001"/>
    <n v="13.6"/>
    <n v="203322"/>
    <n v="94.7"/>
  </r>
  <r>
    <x v="0"/>
    <n v="2021"/>
    <x v="7"/>
    <n v="760.8"/>
    <n v="20.27"/>
    <n v="340"/>
    <n v="152.1"/>
    <n v="12.1"/>
    <n v="190487"/>
    <n v="92.6"/>
  </r>
  <r>
    <x v="0"/>
    <n v="2021"/>
    <x v="8"/>
    <n v="644.4"/>
    <n v="16.170000000000002"/>
    <n v="280"/>
    <n v="123"/>
    <n v="12.7"/>
    <n v="196411"/>
    <n v="94.7"/>
  </r>
  <r>
    <x v="0"/>
    <n v="2021"/>
    <x v="9"/>
    <n v="632.6"/>
    <n v="15.14"/>
    <n v="257"/>
    <n v="118.4"/>
    <n v="11.7"/>
    <n v="188138"/>
    <n v="91.4"/>
  </r>
  <r>
    <x v="0"/>
    <n v="2021"/>
    <x v="10"/>
    <n v="626.79999999999995"/>
    <n v="15.96"/>
    <n v="262"/>
    <n v="129.4"/>
    <n v="13.1"/>
    <n v="166956"/>
    <n v="92.7"/>
  </r>
  <r>
    <x v="0"/>
    <n v="2021"/>
    <x v="11"/>
    <n v="628.4"/>
    <n v="15.48"/>
    <n v="281"/>
    <n v="119.3"/>
    <n v="12.2"/>
    <n v="184612"/>
    <n v="91.1"/>
  </r>
  <r>
    <x v="1"/>
    <n v="2021"/>
    <x v="0"/>
    <n v="392.9"/>
    <n v="6.33"/>
    <n v="149"/>
    <n v="86.8"/>
    <n v="8.3000000000000007"/>
    <n v="87526"/>
    <n v="91.1"/>
  </r>
  <r>
    <x v="1"/>
    <n v="2021"/>
    <x v="1"/>
    <n v="390.7"/>
    <n v="6.25"/>
    <n v="154"/>
    <n v="85.9"/>
    <n v="9.3000000000000007"/>
    <n v="83254"/>
    <n v="90.1"/>
  </r>
  <r>
    <x v="1"/>
    <n v="2021"/>
    <x v="2"/>
    <n v="458"/>
    <n v="7.39"/>
    <n v="181"/>
    <n v="101.4"/>
    <n v="8.6999999999999993"/>
    <n v="97682"/>
    <n v="91.6"/>
  </r>
  <r>
    <x v="1"/>
    <n v="2021"/>
    <x v="3"/>
    <n v="481.6"/>
    <n v="7.36"/>
    <n v="175"/>
    <n v="92.8"/>
    <n v="8.5"/>
    <n v="85875"/>
    <n v="90.3"/>
  </r>
  <r>
    <x v="1"/>
    <n v="2021"/>
    <x v="4"/>
    <n v="441"/>
    <n v="7.55"/>
    <n v="176"/>
    <n v="92.2"/>
    <n v="8.4"/>
    <n v="84885"/>
    <n v="91"/>
  </r>
  <r>
    <x v="1"/>
    <n v="2021"/>
    <x v="5"/>
    <n v="574.4"/>
    <n v="8.9499999999999993"/>
    <n v="235"/>
    <n v="125.5"/>
    <n v="9.4"/>
    <n v="95114"/>
    <n v="90.6"/>
  </r>
  <r>
    <x v="1"/>
    <n v="2021"/>
    <x v="6"/>
    <n v="552.70000000000005"/>
    <n v="9.27"/>
    <n v="217"/>
    <n v="114.4"/>
    <n v="10.3"/>
    <n v="99239"/>
    <n v="89.3"/>
  </r>
  <r>
    <x v="1"/>
    <n v="2021"/>
    <x v="7"/>
    <n v="550.6"/>
    <n v="9.2200000000000006"/>
    <n v="216"/>
    <n v="128.1"/>
    <n v="8.3000000000000007"/>
    <n v="85397"/>
    <n v="89"/>
  </r>
  <r>
    <x v="1"/>
    <n v="2021"/>
    <x v="8"/>
    <n v="438.1"/>
    <n v="7.56"/>
    <n v="186"/>
    <n v="93.4"/>
    <n v="9"/>
    <n v="81882"/>
    <n v="87.3"/>
  </r>
  <r>
    <x v="1"/>
    <n v="2021"/>
    <x v="9"/>
    <n v="446.8"/>
    <n v="7.78"/>
    <n v="181"/>
    <n v="91.8"/>
    <n v="8.1"/>
    <n v="94155"/>
    <n v="86.4"/>
  </r>
  <r>
    <x v="1"/>
    <n v="2021"/>
    <x v="10"/>
    <n v="457"/>
    <n v="7.64"/>
    <n v="185"/>
    <n v="96.9"/>
    <n v="8.6999999999999993"/>
    <n v="88045"/>
    <n v="88.9"/>
  </r>
  <r>
    <x v="1"/>
    <n v="2021"/>
    <x v="11"/>
    <n v="451.4"/>
    <n v="7.59"/>
    <n v="187"/>
    <n v="98.5"/>
    <n v="9.6999999999999993"/>
    <n v="84066"/>
    <n v="91"/>
  </r>
  <r>
    <x v="2"/>
    <n v="2021"/>
    <x v="0"/>
    <n v="204.4"/>
    <n v="4.21"/>
    <n v="98"/>
    <n v="45"/>
    <n v="6.3"/>
    <n v="71785"/>
    <n v="90.5"/>
  </r>
  <r>
    <x v="2"/>
    <n v="2021"/>
    <x v="1"/>
    <n v="201.1"/>
    <n v="4.4800000000000004"/>
    <n v="99"/>
    <n v="49.2"/>
    <n v="6.1"/>
    <n v="70835"/>
    <n v="92.4"/>
  </r>
  <r>
    <x v="2"/>
    <n v="2021"/>
    <x v="2"/>
    <n v="223.1"/>
    <n v="5.15"/>
    <n v="122"/>
    <n v="58.1"/>
    <n v="6"/>
    <n v="59855"/>
    <n v="93.3"/>
  </r>
  <r>
    <x v="2"/>
    <n v="2021"/>
    <x v="3"/>
    <n v="222.7"/>
    <n v="5.12"/>
    <n v="125"/>
    <n v="52.7"/>
    <n v="6"/>
    <n v="72048"/>
    <n v="89.8"/>
  </r>
  <r>
    <x v="2"/>
    <n v="2021"/>
    <x v="4"/>
    <n v="222.1"/>
    <n v="5.18"/>
    <n v="125"/>
    <n v="54.1"/>
    <n v="6.4"/>
    <n v="59025"/>
    <n v="92.9"/>
  </r>
  <r>
    <x v="2"/>
    <n v="2021"/>
    <x v="5"/>
    <n v="299.7"/>
    <n v="6.3"/>
    <n v="142"/>
    <n v="70.7"/>
    <n v="6.8"/>
    <n v="62897"/>
    <n v="94"/>
  </r>
  <r>
    <x v="2"/>
    <n v="2021"/>
    <x v="6"/>
    <n v="300.7"/>
    <n v="6.73"/>
    <n v="145"/>
    <n v="66.7"/>
    <n v="5.7"/>
    <n v="72955"/>
    <n v="90.7"/>
  </r>
  <r>
    <x v="2"/>
    <n v="2021"/>
    <x v="7"/>
    <n v="290.8"/>
    <n v="6.75"/>
    <n v="147"/>
    <n v="71.2"/>
    <n v="5.4"/>
    <n v="65841"/>
    <n v="94"/>
  </r>
  <r>
    <x v="2"/>
    <n v="2021"/>
    <x v="8"/>
    <n v="233.9"/>
    <n v="5.31"/>
    <n v="115"/>
    <n v="52.6"/>
    <n v="6.8"/>
    <n v="68599"/>
    <n v="90"/>
  </r>
  <r>
    <x v="2"/>
    <n v="2021"/>
    <x v="9"/>
    <n v="224.5"/>
    <n v="5.07"/>
    <n v="117"/>
    <n v="53.8"/>
    <n v="5.6"/>
    <n v="66274"/>
    <n v="91.9"/>
  </r>
  <r>
    <x v="2"/>
    <n v="2021"/>
    <x v="10"/>
    <n v="221.8"/>
    <n v="5.31"/>
    <n v="122"/>
    <n v="56.1"/>
    <n v="5.6"/>
    <n v="60027"/>
    <n v="90.8"/>
  </r>
  <r>
    <x v="2"/>
    <n v="2021"/>
    <x v="11"/>
    <n v="226.7"/>
    <n v="5.0599999999999996"/>
    <n v="124"/>
    <n v="55.7"/>
    <n v="6.5"/>
    <n v="64907"/>
    <n v="93"/>
  </r>
  <r>
    <x v="3"/>
    <n v="2021"/>
    <x v="0"/>
    <n v="151.4"/>
    <n v="1.47"/>
    <n v="67"/>
    <n v="38.5"/>
    <n v="4.5999999999999996"/>
    <n v="23791"/>
    <n v="86.6"/>
  </r>
  <r>
    <x v="3"/>
    <n v="2021"/>
    <x v="1"/>
    <n v="148.1"/>
    <n v="1.48"/>
    <n v="65"/>
    <n v="38.5"/>
    <n v="4.0999999999999996"/>
    <n v="28451"/>
    <n v="85.2"/>
  </r>
  <r>
    <x v="3"/>
    <n v="2021"/>
    <x v="2"/>
    <n v="185.7"/>
    <n v="1.71"/>
    <n v="79"/>
    <n v="43.8"/>
    <n v="4.4000000000000004"/>
    <n v="24763"/>
    <n v="88.1"/>
  </r>
  <r>
    <x v="3"/>
    <n v="2021"/>
    <x v="3"/>
    <n v="173.2"/>
    <n v="1.75"/>
    <n v="83"/>
    <n v="41.8"/>
    <n v="4.3"/>
    <n v="25587"/>
    <n v="87.2"/>
  </r>
  <r>
    <x v="3"/>
    <n v="2021"/>
    <x v="4"/>
    <n v="183.2"/>
    <n v="1.71"/>
    <n v="81"/>
    <n v="41.8"/>
    <n v="4.2"/>
    <n v="24948"/>
    <n v="84.3"/>
  </r>
  <r>
    <x v="3"/>
    <n v="2021"/>
    <x v="5"/>
    <n v="215.4"/>
    <n v="2.36"/>
    <n v="103"/>
    <n v="50.8"/>
    <n v="3.8"/>
    <n v="24405"/>
    <n v="85.1"/>
  </r>
  <r>
    <x v="3"/>
    <n v="2021"/>
    <x v="6"/>
    <n v="222.6"/>
    <n v="2.14"/>
    <n v="97"/>
    <n v="55.2"/>
    <n v="3.7"/>
    <n v="27026"/>
    <n v="87.4"/>
  </r>
  <r>
    <x v="3"/>
    <n v="2021"/>
    <x v="7"/>
    <n v="229.8"/>
    <n v="2.1800000000000002"/>
    <n v="99"/>
    <n v="55.9"/>
    <n v="4"/>
    <n v="25899"/>
    <n v="88.5"/>
  </r>
  <r>
    <x v="3"/>
    <n v="2021"/>
    <x v="8"/>
    <n v="173.1"/>
    <n v="1.76"/>
    <n v="82"/>
    <n v="43.7"/>
    <n v="3.7"/>
    <n v="28288"/>
    <n v="87.4"/>
  </r>
  <r>
    <x v="3"/>
    <n v="2021"/>
    <x v="9"/>
    <n v="180.2"/>
    <n v="1.81"/>
    <n v="77"/>
    <n v="40.9"/>
    <n v="3.8"/>
    <n v="24668"/>
    <n v="84.9"/>
  </r>
  <r>
    <x v="3"/>
    <n v="2021"/>
    <x v="10"/>
    <n v="171.9"/>
    <n v="1.79"/>
    <n v="80"/>
    <n v="42.9"/>
    <n v="4.4000000000000004"/>
    <n v="27466"/>
    <n v="85.3"/>
  </r>
  <r>
    <x v="3"/>
    <n v="2021"/>
    <x v="11"/>
    <n v="184.4"/>
    <n v="1.87"/>
    <n v="77"/>
    <n v="43.5"/>
    <n v="4.0999999999999996"/>
    <n v="26561"/>
    <n v="86.3"/>
  </r>
  <r>
    <x v="4"/>
    <n v="2021"/>
    <x v="0"/>
    <n v="212.7"/>
    <n v="2.3199999999999998"/>
    <n v="77"/>
    <n v="41.6"/>
    <n v="5.3"/>
    <n v="34702"/>
    <n v="87.5"/>
  </r>
  <r>
    <x v="4"/>
    <n v="2021"/>
    <x v="1"/>
    <n v="213.7"/>
    <n v="2.33"/>
    <n v="78"/>
    <n v="40.5"/>
    <n v="4.7"/>
    <n v="32193"/>
    <n v="87.8"/>
  </r>
  <r>
    <x v="4"/>
    <n v="2021"/>
    <x v="2"/>
    <n v="261.10000000000002"/>
    <n v="2.92"/>
    <n v="95"/>
    <n v="46"/>
    <n v="4.5"/>
    <n v="31519"/>
    <n v="91.2"/>
  </r>
  <r>
    <x v="4"/>
    <n v="2021"/>
    <x v="3"/>
    <n v="262.8"/>
    <n v="2.81"/>
    <n v="99"/>
    <n v="48.1"/>
    <n v="4.5"/>
    <n v="36718"/>
    <n v="92"/>
  </r>
  <r>
    <x v="4"/>
    <n v="2021"/>
    <x v="4"/>
    <n v="251.5"/>
    <n v="2.73"/>
    <n v="93"/>
    <n v="50.8"/>
    <n v="5.6"/>
    <n v="34689"/>
    <n v="91.7"/>
  </r>
  <r>
    <x v="4"/>
    <n v="2021"/>
    <x v="5"/>
    <n v="312.39999999999998"/>
    <n v="3.62"/>
    <n v="122"/>
    <n v="57.2"/>
    <n v="4.9000000000000004"/>
    <n v="39208"/>
    <n v="88.5"/>
  </r>
  <r>
    <x v="4"/>
    <n v="2021"/>
    <x v="6"/>
    <n v="317.7"/>
    <n v="3.67"/>
    <n v="120"/>
    <n v="61.2"/>
    <n v="4.7"/>
    <n v="38078"/>
    <n v="88.7"/>
  </r>
  <r>
    <x v="4"/>
    <n v="2021"/>
    <x v="7"/>
    <n v="315.3"/>
    <n v="3.56"/>
    <n v="118"/>
    <n v="61.5"/>
    <n v="4.8"/>
    <n v="34746"/>
    <n v="90"/>
  </r>
  <r>
    <x v="4"/>
    <n v="2021"/>
    <x v="8"/>
    <n v="270.39999999999998"/>
    <n v="2.87"/>
    <n v="94"/>
    <n v="50.8"/>
    <n v="5"/>
    <n v="34237"/>
    <n v="89.2"/>
  </r>
  <r>
    <x v="4"/>
    <n v="2021"/>
    <x v="9"/>
    <n v="263"/>
    <n v="2.82"/>
    <n v="95"/>
    <n v="46.9"/>
    <n v="4.5999999999999996"/>
    <n v="32778"/>
    <n v="92.5"/>
  </r>
  <r>
    <x v="4"/>
    <n v="2021"/>
    <x v="10"/>
    <n v="266.5"/>
    <n v="2.7"/>
    <n v="94"/>
    <n v="45.8"/>
    <n v="4.8"/>
    <n v="37440"/>
    <n v="92.6"/>
  </r>
  <r>
    <x v="4"/>
    <n v="2021"/>
    <x v="11"/>
    <n v="256.60000000000002"/>
    <n v="2.8"/>
    <n v="92"/>
    <n v="50.8"/>
    <n v="5.7"/>
    <n v="38334"/>
    <n v="91.5"/>
  </r>
  <r>
    <x v="5"/>
    <n v="2021"/>
    <x v="0"/>
    <n v="201.7"/>
    <n v="2.12"/>
    <n v="75"/>
    <n v="38.200000000000003"/>
    <n v="4.8"/>
    <n v="29339"/>
    <n v="88.7"/>
  </r>
  <r>
    <x v="5"/>
    <n v="2021"/>
    <x v="1"/>
    <n v="193.2"/>
    <n v="2.02"/>
    <n v="72"/>
    <n v="39.799999999999997"/>
    <n v="4.5999999999999996"/>
    <n v="29875"/>
    <n v="85.6"/>
  </r>
  <r>
    <x v="5"/>
    <n v="2021"/>
    <x v="2"/>
    <n v="237.5"/>
    <n v="2.39"/>
    <n v="83"/>
    <n v="47.9"/>
    <n v="4.7"/>
    <n v="33832"/>
    <n v="89.9"/>
  </r>
  <r>
    <x v="5"/>
    <n v="2021"/>
    <x v="3"/>
    <n v="228.6"/>
    <n v="2.59"/>
    <n v="88"/>
    <n v="44.8"/>
    <n v="4.2"/>
    <n v="30488"/>
    <n v="90"/>
  </r>
  <r>
    <x v="5"/>
    <n v="2021"/>
    <x v="4"/>
    <n v="236.3"/>
    <n v="2.6"/>
    <n v="84"/>
    <n v="45.2"/>
    <n v="4.5999999999999996"/>
    <n v="30571"/>
    <n v="89.4"/>
  </r>
  <r>
    <x v="5"/>
    <n v="2021"/>
    <x v="5"/>
    <n v="280.7"/>
    <n v="3.26"/>
    <n v="106"/>
    <n v="62.1"/>
    <n v="4.2"/>
    <n v="33613"/>
    <n v="90.6"/>
  </r>
  <r>
    <x v="5"/>
    <n v="2021"/>
    <x v="6"/>
    <n v="281.3"/>
    <n v="3.06"/>
    <n v="111"/>
    <n v="55.2"/>
    <n v="4.4000000000000004"/>
    <n v="27682"/>
    <n v="87.5"/>
  </r>
  <r>
    <x v="5"/>
    <n v="2021"/>
    <x v="7"/>
    <n v="299.39999999999998"/>
    <n v="3.18"/>
    <n v="108"/>
    <n v="58.3"/>
    <n v="4.2"/>
    <n v="33960"/>
    <n v="85.7"/>
  </r>
  <r>
    <x v="5"/>
    <n v="2021"/>
    <x v="8"/>
    <n v="229.2"/>
    <n v="2.6"/>
    <n v="91"/>
    <n v="48.3"/>
    <n v="4.7"/>
    <n v="34193"/>
    <n v="90.6"/>
  </r>
  <r>
    <x v="5"/>
    <n v="2021"/>
    <x v="9"/>
    <n v="229.6"/>
    <n v="2.42"/>
    <n v="85"/>
    <n v="45.6"/>
    <n v="4.3"/>
    <n v="27770"/>
    <n v="85.6"/>
  </r>
  <r>
    <x v="5"/>
    <n v="2021"/>
    <x v="10"/>
    <n v="228.2"/>
    <n v="2.56"/>
    <n v="85"/>
    <n v="48"/>
    <n v="5.2"/>
    <n v="27094"/>
    <n v="88.3"/>
  </r>
  <r>
    <x v="5"/>
    <n v="2021"/>
    <x v="11"/>
    <n v="239.1"/>
    <n v="2.41"/>
    <n v="89"/>
    <n v="49.3"/>
    <n v="4.2"/>
    <n v="29472"/>
    <n v="87.7"/>
  </r>
  <r>
    <x v="6"/>
    <n v="2021"/>
    <x v="0"/>
    <n v="132.19999999999999"/>
    <n v="1.31"/>
    <n v="55"/>
    <n v="29.3"/>
    <n v="3.7"/>
    <n v="22344"/>
    <n v="93.5"/>
  </r>
  <r>
    <x v="6"/>
    <n v="2021"/>
    <x v="1"/>
    <n v="131.80000000000001"/>
    <n v="1.31"/>
    <n v="57"/>
    <n v="28.2"/>
    <n v="3.2"/>
    <n v="22355"/>
    <n v="90.1"/>
  </r>
  <r>
    <x v="6"/>
    <n v="2021"/>
    <x v="2"/>
    <n v="155.30000000000001"/>
    <n v="1.5"/>
    <n v="67"/>
    <n v="34.6"/>
    <n v="3.4"/>
    <n v="18402"/>
    <n v="93.1"/>
  </r>
  <r>
    <x v="6"/>
    <n v="2021"/>
    <x v="3"/>
    <n v="167.4"/>
    <n v="1.48"/>
    <n v="63"/>
    <n v="34.299999999999997"/>
    <n v="3.6"/>
    <n v="19723"/>
    <n v="91.9"/>
  </r>
  <r>
    <x v="6"/>
    <n v="2021"/>
    <x v="4"/>
    <n v="156.19999999999999"/>
    <n v="1.45"/>
    <n v="63"/>
    <n v="34.1"/>
    <n v="3.5"/>
    <n v="20863"/>
    <n v="90.6"/>
  </r>
  <r>
    <x v="6"/>
    <n v="2021"/>
    <x v="5"/>
    <n v="206.7"/>
    <n v="1.86"/>
    <n v="84"/>
    <n v="45.7"/>
    <n v="3.6"/>
    <n v="20142"/>
    <n v="93.1"/>
  </r>
  <r>
    <x v="6"/>
    <n v="2021"/>
    <x v="6"/>
    <n v="208.9"/>
    <n v="1.86"/>
    <n v="78"/>
    <n v="44.4"/>
    <n v="3.4"/>
    <n v="22373"/>
    <n v="92.4"/>
  </r>
  <r>
    <x v="6"/>
    <n v="2021"/>
    <x v="7"/>
    <n v="194"/>
    <n v="1.85"/>
    <n v="83"/>
    <n v="41.6"/>
    <n v="3.5"/>
    <n v="19467"/>
    <n v="89.9"/>
  </r>
  <r>
    <x v="6"/>
    <n v="2021"/>
    <x v="8"/>
    <n v="157.30000000000001"/>
    <n v="1.5"/>
    <n v="66"/>
    <n v="32.6"/>
    <n v="3.7"/>
    <n v="22750"/>
    <n v="90.3"/>
  </r>
  <r>
    <x v="6"/>
    <n v="2021"/>
    <x v="9"/>
    <n v="157.80000000000001"/>
    <n v="1.43"/>
    <n v="67"/>
    <n v="32.700000000000003"/>
    <n v="3.4"/>
    <n v="18716"/>
    <n v="92.4"/>
  </r>
  <r>
    <x v="6"/>
    <n v="2021"/>
    <x v="10"/>
    <n v="155.1"/>
    <n v="1.47"/>
    <n v="61"/>
    <n v="32.5"/>
    <n v="3.7"/>
    <n v="19291"/>
    <n v="89.6"/>
  </r>
  <r>
    <x v="6"/>
    <n v="2021"/>
    <x v="11"/>
    <n v="162.1"/>
    <n v="1.46"/>
    <n v="63"/>
    <n v="36.4"/>
    <n v="3.4"/>
    <n v="20815"/>
    <n v="91"/>
  </r>
  <r>
    <x v="7"/>
    <n v="2021"/>
    <x v="0"/>
    <n v="245.1"/>
    <n v="1.92"/>
    <n v="71"/>
    <n v="45"/>
    <n v="5.9"/>
    <n v="31586"/>
    <n v="94.7"/>
  </r>
  <r>
    <x v="7"/>
    <n v="2021"/>
    <x v="1"/>
    <n v="246.7"/>
    <n v="1.95"/>
    <n v="70"/>
    <n v="47.1"/>
    <n v="5.0999999999999996"/>
    <n v="25447"/>
    <n v="94.5"/>
  </r>
  <r>
    <x v="7"/>
    <n v="2021"/>
    <x v="2"/>
    <n v="295.60000000000002"/>
    <n v="2.14"/>
    <n v="86"/>
    <n v="52.4"/>
    <n v="5.9"/>
    <n v="31990"/>
    <n v="94.8"/>
  </r>
  <r>
    <x v="7"/>
    <n v="2021"/>
    <x v="3"/>
    <n v="280"/>
    <n v="2.2400000000000002"/>
    <n v="79"/>
    <n v="52"/>
    <n v="5.5"/>
    <n v="29744"/>
    <n v="92.9"/>
  </r>
  <r>
    <x v="7"/>
    <n v="2021"/>
    <x v="4"/>
    <n v="286.10000000000002"/>
    <n v="2.29"/>
    <n v="82"/>
    <n v="49.8"/>
    <n v="5.8"/>
    <n v="30081"/>
    <n v="92.4"/>
  </r>
  <r>
    <x v="7"/>
    <n v="2021"/>
    <x v="5"/>
    <n v="358.9"/>
    <n v="2.71"/>
    <n v="103"/>
    <n v="68.099999999999994"/>
    <n v="6.1"/>
    <n v="27397"/>
    <n v="91.3"/>
  </r>
  <r>
    <x v="7"/>
    <n v="2021"/>
    <x v="6"/>
    <n v="352.7"/>
    <n v="2.84"/>
    <n v="100"/>
    <n v="66.400000000000006"/>
    <n v="5.4"/>
    <n v="30282"/>
    <n v="93"/>
  </r>
  <r>
    <x v="7"/>
    <n v="2021"/>
    <x v="7"/>
    <n v="379.9"/>
    <n v="2.75"/>
    <n v="99"/>
    <n v="69"/>
    <n v="5.7"/>
    <n v="31141"/>
    <n v="94.5"/>
  </r>
  <r>
    <x v="7"/>
    <n v="2021"/>
    <x v="8"/>
    <n v="288.8"/>
    <n v="2.31"/>
    <n v="84"/>
    <n v="54.4"/>
    <n v="5.4"/>
    <n v="27106"/>
    <n v="92.6"/>
  </r>
  <r>
    <x v="7"/>
    <n v="2021"/>
    <x v="9"/>
    <n v="282.89999999999998"/>
    <n v="2.09"/>
    <n v="84"/>
    <n v="52.9"/>
    <n v="5.6"/>
    <n v="29558"/>
    <n v="91.1"/>
  </r>
  <r>
    <x v="7"/>
    <n v="2021"/>
    <x v="10"/>
    <n v="283.89999999999998"/>
    <n v="2.1800000000000002"/>
    <n v="81"/>
    <n v="53.2"/>
    <n v="5.2"/>
    <n v="31533"/>
    <n v="91.2"/>
  </r>
  <r>
    <x v="7"/>
    <n v="2021"/>
    <x v="11"/>
    <n v="277"/>
    <n v="2.1800000000000002"/>
    <n v="80"/>
    <n v="52.2"/>
    <n v="6.2"/>
    <n v="27676"/>
    <n v="95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9B17F-14FF-4187-B68A-A9CD58AD24E4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L7:M32" firstHeaderRow="1" firstDataRow="1" firstDataCol="1"/>
  <pivotFields count="10">
    <pivotField axis="axisRow" showAll="0">
      <items count="9">
        <item h="1" x="1"/>
        <item x="7"/>
        <item h="1" x="3"/>
        <item h="1" x="4"/>
        <item h="1" x="0"/>
        <item h="1" x="6"/>
        <item h="1" x="5"/>
        <item h="1" x="2"/>
        <item t="default"/>
      </items>
    </pivotField>
    <pivotField showAll="0"/>
    <pivotField axis="axisRow" showAll="0">
      <items count="13">
        <item x="9"/>
        <item x="10"/>
        <item x="11"/>
        <item x="2"/>
        <item x="3"/>
        <item x="7"/>
        <item x="1"/>
        <item x="0"/>
        <item x="6"/>
        <item x="5"/>
        <item x="4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25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 t="grand">
      <x/>
    </i>
  </rowItems>
  <colItems count="1">
    <i/>
  </colItems>
  <dataFields count="1">
    <dataField name="Somme de Revenue_M" fld="3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387E7-28BB-47C7-9EF9-6B88FF21E0C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3:B12" firstHeaderRow="1" firstDataRow="1" firstDataCol="1"/>
  <pivotFields count="8">
    <pivotField axis="axisRow" showAll="0" sortType="descending">
      <items count="9">
        <item x="2"/>
        <item x="5"/>
        <item x="6"/>
        <item x="0"/>
        <item x="4"/>
        <item x="3"/>
        <item x="7"/>
        <item x="1"/>
        <item t="default"/>
      </items>
    </pivotField>
    <pivotField numFmtId="2" showAll="0"/>
    <pivotField numFmtId="2" showAll="0"/>
    <pivotField numFmtId="2" showAll="0"/>
    <pivotField numFmtId="2" showAll="0"/>
    <pivotField dataField="1" numFmtId="2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OverallScore" fld="5" baseField="0" baseItem="0" numFmtId="2"/>
  </dataField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40F44-B0DD-442E-9A73-0A06D41EBE92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E12" firstHeaderRow="0" firstDataRow="1" firstDataCol="1"/>
  <pivotFields count="8">
    <pivotField axis="axisRow" showAll="0">
      <items count="9">
        <item x="1"/>
        <item x="7"/>
        <item x="3"/>
        <item x="4"/>
        <item x="0"/>
        <item x="6"/>
        <item x="5"/>
        <item x="2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ProfitabilityScore" fld="1" baseField="0" baseItem="0" numFmtId="2"/>
    <dataField name="Somme de RiskScore" fld="2" baseField="0" baseItem="0" numFmtId="2"/>
    <dataField name="Somme de GrowthScore" fld="3" baseField="0" baseItem="0" numFmtId="2"/>
    <dataField name="Somme de OperationsScore" fld="4" baseField="0" baseItem="0" numFmtId="2"/>
  </dataField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B27E2-DA25-4FEB-95F4-86600BF85065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I26:K35" firstHeaderRow="0" firstDataRow="1" firstDataCol="1"/>
  <pivotFields count="8">
    <pivotField axis="axisRow" showAll="0">
      <items count="9">
        <item x="1"/>
        <item x="7"/>
        <item x="3"/>
        <item x="4"/>
        <item x="0"/>
        <item x="6"/>
        <item x="5"/>
        <item x="2"/>
        <item t="default"/>
      </items>
    </pivotField>
    <pivotField numFmtId="2" showAll="0"/>
    <pivotField dataField="1" numFmtId="2" showAll="0"/>
    <pivotField dataField="1" numFmtId="2" showAll="0"/>
    <pivotField numFmtId="2" showAll="0"/>
    <pivotField numFmtId="2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RiskScore" fld="2" baseField="0" baseItem="0" numFmtId="2"/>
    <dataField name="Somme de GrowthScore" fld="3" baseField="0" baseItem="0" numFmtId="2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Financials" displayName="Table_Financials" ref="A1:M9">
  <tableColumns count="13">
    <tableColumn id="1" xr3:uid="{00000000-0010-0000-0000-000001000000}" name="Company"/>
    <tableColumn id="2" xr3:uid="{00000000-0010-0000-0000-000002000000}" name="Country"/>
    <tableColumn id="3" xr3:uid="{00000000-0010-0000-0000-000003000000}" name="Revenue_M"/>
    <tableColumn id="4" xr3:uid="{00000000-0010-0000-0000-000004000000}" name="Profit_M"/>
    <tableColumn id="5" xr3:uid="{00000000-0010-0000-0000-000005000000}" name="CashFlow_M"/>
    <tableColumn id="6" xr3:uid="{00000000-0010-0000-0000-000006000000}" name="Assets_M"/>
    <tableColumn id="7" xr3:uid="{00000000-0010-0000-0000-000007000000}" name="Debt_M"/>
    <tableColumn id="8" xr3:uid="{00000000-0010-0000-0000-000008000000}" name="Current_Ratio"/>
    <tableColumn id="9" xr3:uid="{00000000-0010-0000-0000-000009000000}" name="ROA_%"/>
    <tableColumn id="10" xr3:uid="{00000000-0010-0000-0000-00000A000000}" name="EV_M"/>
    <tableColumn id="11" xr3:uid="{00000000-0010-0000-0000-00000B000000}" name="MarketCap_M"/>
    <tableColumn id="12" xr3:uid="{00000000-0010-0000-0000-00000C000000}" name="Employees"/>
    <tableColumn id="13" xr3:uid="{00000000-0010-0000-0000-00000D000000}" name="Fleet_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921844-412B-4BB3-9C08-EE12704B1EA8}" name="Tableau6" displayName="Tableau6" ref="A1:AG9" totalsRowShown="0" tableBorderDxfId="21">
  <autoFilter ref="A1:AG9" xr:uid="{53921844-412B-4BB3-9C08-EE12704B1EA8}"/>
  <tableColumns count="33">
    <tableColumn id="1" xr3:uid="{A7CA563D-37AB-4EDF-A22A-84CAC287F20A}" name="Company" dataDxfId="20"/>
    <tableColumn id="2" xr3:uid="{B1571AFB-9EA8-418F-A6AA-03D22423EC06}" name="Revenue">
      <calculatedColumnFormula>_xlfn.XLOOKUP(A2,Table_Financials[Company],Table_Financials[Revenue_M])</calculatedColumnFormula>
    </tableColumn>
    <tableColumn id="3" xr3:uid="{7989B78E-0A27-49AC-BFD4-DC32C55BCF55}" name="Profit">
      <calculatedColumnFormula>_xlfn.XLOOKUP(A2,Table_Financials[Company],Table_Financials[Profit_M])</calculatedColumnFormula>
    </tableColumn>
    <tableColumn id="4" xr3:uid="{C7FC3558-BF27-4E34-8556-591620076554}" name="Cash_flow">
      <calculatedColumnFormula>_xlfn.XLOOKUP(A2,Table_Financials[Company],Table_Financials[CashFlow_M])</calculatedColumnFormula>
    </tableColumn>
    <tableColumn id="5" xr3:uid="{FE06CBC6-5542-4461-8666-F22753E829BF}" name="Assets">
      <calculatedColumnFormula>_xlfn.XLOOKUP(A2,Table_Financials[Company],Table_Financials[Assets_M])</calculatedColumnFormula>
    </tableColumn>
    <tableColumn id="6" xr3:uid="{F27A24F4-F626-4010-ADD0-EA46C1511573}" name="Debt">
      <calculatedColumnFormula>_xlfn.XLOOKUP(A2,Table_Financials[Company],Table_Financials[Debt_M])</calculatedColumnFormula>
    </tableColumn>
    <tableColumn id="7" xr3:uid="{9B614A19-B029-40E4-B1C4-75E422C9112F}" name="current_ratio">
      <calculatedColumnFormula>_xlfn.XLOOKUP(A2,Table_Financials[Company],Table_Financials[Current_Ratio])</calculatedColumnFormula>
    </tableColumn>
    <tableColumn id="8" xr3:uid="{1FCA9F96-FCF4-438F-966A-BD9555DE58F9}" name="ROA">
      <calculatedColumnFormula>_xlfn.XLOOKUP(A2,Table_Financials[Company],Table_Financials[ROA_%])</calculatedColumnFormula>
    </tableColumn>
    <tableColumn id="20" xr3:uid="{BABA7A68-CE1B-4157-82D2-25A9A1AD566C}" name="EV" dataDxfId="19">
      <calculatedColumnFormula>_xlfn.XLOOKUP(Tableau6[[#This Row],[Company]],Table_Financials[Company],Table_Financials[EV_M])</calculatedColumnFormula>
    </tableColumn>
    <tableColumn id="9" xr3:uid="{CD5D479F-D551-4105-84E5-83DD3B68BDE1}" name="Growth_rate">
      <calculatedColumnFormula>_xlfn.XLOOKUP(A2,Table_Market[Company],Table_Market[GrowthRate_%])</calculatedColumnFormula>
    </tableColumn>
    <tableColumn id="12" xr3:uid="{2BB1FD0A-0A7B-46A7-B98B-0B02C8606E6E}" name="countries_served">
      <calculatedColumnFormula>_xlfn.XLOOKUP(A2,Table_Market[Company],Table_Market[Countries_Served])</calculatedColumnFormula>
    </tableColumn>
    <tableColumn id="13" xr3:uid="{5CCE2AD2-C12E-4305-9F85-13D23A35AFD2}" name="Customer_rating">
      <calculatedColumnFormula>_xlfn.XLOOKUP(A2,Table_Operations[Company],Table_Operations[CustomerRating])</calculatedColumnFormula>
    </tableColumn>
    <tableColumn id="14" xr3:uid="{F3D77D83-4359-48AB-8F98-13B2F47D2534}" name="Delay_rate">
      <calculatedColumnFormula>_xlfn.XLOOKUP(A2,Table_Operations[Company],Table_Operations[DelayRate_%])</calculatedColumnFormula>
    </tableColumn>
    <tableColumn id="15" xr3:uid="{11D838A3-4CD6-4367-887F-93ADDEB5D94B}" name="Load_factor">
      <calculatedColumnFormula>_xlfn.XLOOKUP(A2,Table_Operations[Company],Table_Operations[LoadFactor_%])</calculatedColumnFormula>
    </tableColumn>
    <tableColumn id="16" xr3:uid="{AC6ECD99-164A-4897-A852-DACFBE459E78}" name="Profit_margin" dataDxfId="18" dataCellStyle="Pourcentage">
      <calculatedColumnFormula>Tableau6[[#This Row],[Profit]]/Tableau6[[#This Row],[Revenue]]</calculatedColumnFormula>
    </tableColumn>
    <tableColumn id="17" xr3:uid="{110C68CF-2990-49C5-9776-C21157BBEB5A}" name="cash_conversion_ratio" dataDxfId="17">
      <calculatedColumnFormula>Tableau6[[#This Row],[Cash_flow]]/Tableau6[[#This Row],[Profit]]</calculatedColumnFormula>
    </tableColumn>
    <tableColumn id="18" xr3:uid="{DB420681-57DE-41B1-B109-5F9F8EA8FE5D}" name="Debt_ratio" dataDxfId="16" dataCellStyle="Pourcentage">
      <calculatedColumnFormula>Tableau6[[#This Row],[Debt]]/Tableau6[[#This Row],[Assets]]</calculatedColumnFormula>
    </tableColumn>
    <tableColumn id="19" xr3:uid="{C0F10F8E-DC6C-4B40-8AC9-4A10C8EBC2F9}" name="Growth_potential_score" dataDxfId="15">
      <calculatedColumnFormula>0.7*Tableau6[[#This Row],[Growth_rate]]+0.3*Tableau6[[#This Row],[countries_served]]</calculatedColumnFormula>
    </tableColumn>
    <tableColumn id="21" xr3:uid="{2166399E-6233-4ED1-8906-6F65AD842205}" name="EV/Revenue" dataDxfId="14">
      <calculatedColumnFormula>Tableau6[[#This Row],[EV]]/Tableau6[[#This Row],[Revenue]]</calculatedColumnFormula>
    </tableColumn>
    <tableColumn id="22" xr3:uid="{8EF3AF0B-8A54-426A-918F-E6B235F4BD14}" name="profit_margin_norm" dataDxfId="13" dataCellStyle="Pourcentage">
      <calculatedColumnFormula>(O2-MIN($O$2:$O$9))/(MAX($O$2:$O$9)-MIN($O$2:$O$9))*100</calculatedColumnFormula>
    </tableColumn>
    <tableColumn id="23" xr3:uid="{2DA546EF-7B08-4884-B56B-63DFE6A065B0}" name="cash_conv_ratio_norm" dataDxfId="12" dataCellStyle="Pourcentage">
      <calculatedColumnFormula>(P2-MIN($P$2:$P$9))/(MAX($P$2:$P$9)-MIN($P$2:$P$9))*100</calculatedColumnFormula>
    </tableColumn>
    <tableColumn id="25" xr3:uid="{54056A8F-C41F-4379-8F96-2C57E895365A}" name="growth_potential_norm" dataDxfId="11">
      <calculatedColumnFormula>(R2-MIN($R$2:$R$9))/(MAX($R$2:$R$9)-MIN($R$2:$R$9))*100</calculatedColumnFormula>
    </tableColumn>
    <tableColumn id="26" xr3:uid="{CB4C0C4B-0563-4AB5-8A6E-70E309F22DF5}" name="EV/rev_norm" dataDxfId="10">
      <calculatedColumnFormula>(MAX($S$2:$S$9)-S2)/(MAX($S$2:$S$9)-MIN($S$2:$S$9))*100</calculatedColumnFormula>
    </tableColumn>
    <tableColumn id="27" xr3:uid="{AD89DCC9-E792-491B-9E9A-10BC72A4BF98}" name="Debt_ratio_norm" dataDxfId="9">
      <calculatedColumnFormula>(MAX($Q$2:$Q$9)-Q2)/(MAX($Q$2:$Q$9)-MIN($Q$2:$Q$9))*100</calculatedColumnFormula>
    </tableColumn>
    <tableColumn id="28" xr3:uid="{480BC82B-EE3F-4B1B-8ECB-B59B0720F9D6}" name="load_factor_norm" dataDxfId="8">
      <calculatedColumnFormula>(N2-MIN($N$2:$N$9))/(MAX($N$2:$N$9)-MIN($N$2:$N$9))*100</calculatedColumnFormula>
    </tableColumn>
    <tableColumn id="31" xr3:uid="{29EF33FC-1C0A-4920-A402-3F9D141CD4C7}" name="Current_ratio_norm" dataDxfId="7">
      <calculatedColumnFormula>(MAX($G$2:$G$9)-G2)/(MAX($G$2:$G$9)-MIN($G$2:$G$9))*100</calculatedColumnFormula>
    </tableColumn>
    <tableColumn id="32" xr3:uid="{F890FE73-1752-4D4A-9EDF-B68F652574A0}" name="ROA_norm" dataDxfId="6">
      <calculatedColumnFormula>(MAX($H$2:$H$9)-H2)/(MAX($H$2:$H$9)-MIN($H$2:$H$9))*100</calculatedColumnFormula>
    </tableColumn>
    <tableColumn id="35" xr3:uid="{88F9ECB1-2461-493B-ADA0-C899C74A2241}" name="Customer_rating_norm" dataDxfId="5">
      <calculatedColumnFormula>(L2-MIN($L$2:$L$9))/(MAX($L$2:$L$9)-MIN($L$2:$L$9))*100</calculatedColumnFormula>
    </tableColumn>
    <tableColumn id="36" xr3:uid="{707D6C27-0F79-4820-B44C-7FA990EA9312}" name="delay_rate_norm" dataDxfId="4">
      <calculatedColumnFormula>(MAX($M$2:$M$9)-M2)/(MAX($M$2:$M$9)-MIN($M$2:$M$9))*100</calculatedColumnFormula>
    </tableColumn>
    <tableColumn id="29" xr3:uid="{032AD23D-D026-4944-B375-13226CD19E9E}" name="profitability_score" dataDxfId="3">
      <calculatedColumnFormula>(Tableau6[[#This Row],[profit_margin_norm]]+Tableau6[[#This Row],[cash_conv_ratio_norm]])/2</calculatedColumnFormula>
    </tableColumn>
    <tableColumn id="30" xr3:uid="{E5DDF2D0-F824-44E7-BE2D-A4C34DB2E0B1}" name="Risk_score" dataDxfId="2">
      <calculatedColumnFormula>(Tableau6[[#This Row],[Debt_ratio_norm]]+Tableau6[[#This Row],[Current_ratio_norm]]+Tableau6[[#This Row],[ROA_norm]])/3</calculatedColumnFormula>
    </tableColumn>
    <tableColumn id="33" xr3:uid="{4C471A6C-BAA9-41A8-BFC0-0A6D9E8E3AFC}" name="Growth_score" dataDxfId="1">
      <calculatedColumnFormula>Tableau6[[#This Row],[growth_potential_norm]]</calculatedColumnFormula>
    </tableColumn>
    <tableColumn id="37" xr3:uid="{0F06F14F-2E71-4583-BE8F-7F1524A56870}" name="operations_score" dataDxfId="0">
      <calculatedColumnFormula>0.4*Tableau6[[#This Row],[Customer_rating_norm]]+0.4*Tableau6[[#This Row],[load_factor_norm]]+0.2*Tableau6[[#This Row],[delay_rate_norm]]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arket" displayName="Table_Market" ref="A1:E9">
  <autoFilter ref="A1:E9" xr:uid="{00000000-0009-0000-0100-000002000000}"/>
  <tableColumns count="5">
    <tableColumn id="1" xr3:uid="{00000000-0010-0000-0100-000001000000}" name="Company"/>
    <tableColumn id="3" xr3:uid="{00000000-0010-0000-0100-000003000000}" name="GrowthRate_%"/>
    <tableColumn id="4" xr3:uid="{00000000-0010-0000-0100-000004000000}" name="Countries_Served"/>
    <tableColumn id="6" xr3:uid="{00000000-0010-0000-0100-000006000000}" name="Brand_Score"/>
    <tableColumn id="7" xr3:uid="{00000000-0010-0000-0100-000007000000}" name="Digital_Sco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Operations" displayName="Table_Operations" ref="A1:G9">
  <autoFilter ref="A1:G9" xr:uid="{00000000-0009-0000-0100-000003000000}"/>
  <tableColumns count="7">
    <tableColumn id="1" xr3:uid="{00000000-0010-0000-0200-000001000000}" name="Company"/>
    <tableColumn id="2" xr3:uid="{00000000-0010-0000-0200-000002000000}" name="Flights_000"/>
    <tableColumn id="3" xr3:uid="{00000000-0010-0000-0200-000003000000}" name="DelayRate_%"/>
    <tableColumn id="4" xr3:uid="{00000000-0010-0000-0200-000004000000}" name="CustomerRating"/>
    <tableColumn id="5" xr3:uid="{00000000-0010-0000-0200-000005000000}" name="LoadFactor_%"/>
    <tableColumn id="6" xr3:uid="{00000000-0010-0000-0200-000006000000}" name="CancellationRate_%"/>
    <tableColumn id="7" xr3:uid="{00000000-0010-0000-0200-000007000000}" name="OnTime_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20" sqref="A20"/>
    </sheetView>
  </sheetViews>
  <sheetFormatPr baseColWidth="10" defaultColWidth="8.88671875" defaultRowHeight="14.4" x14ac:dyDescent="0.3"/>
  <cols>
    <col min="1" max="1" width="55" bestFit="1" customWidth="1"/>
  </cols>
  <sheetData>
    <row r="1" spans="1:1" x14ac:dyDescent="0.3">
      <c r="A1" t="s">
        <v>44</v>
      </c>
    </row>
    <row r="3" spans="1:1" x14ac:dyDescent="0.3">
      <c r="A3" t="s">
        <v>45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49</v>
      </c>
    </row>
    <row r="9" spans="1:1" x14ac:dyDescent="0.3">
      <c r="A9" t="s">
        <v>50</v>
      </c>
    </row>
    <row r="10" spans="1:1" x14ac:dyDescent="0.3">
      <c r="A10" t="s">
        <v>51</v>
      </c>
    </row>
    <row r="11" spans="1:1" x14ac:dyDescent="0.3">
      <c r="A11" t="s">
        <v>52</v>
      </c>
    </row>
    <row r="13" spans="1:1" x14ac:dyDescent="0.3">
      <c r="A13" t="s">
        <v>53</v>
      </c>
    </row>
    <row r="14" spans="1:1" x14ac:dyDescent="0.3">
      <c r="A14" t="s">
        <v>54</v>
      </c>
    </row>
    <row r="15" spans="1:1" x14ac:dyDescent="0.3">
      <c r="A15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I16" sqref="I16"/>
    </sheetView>
  </sheetViews>
  <sheetFormatPr baseColWidth="10" defaultColWidth="8.88671875" defaultRowHeight="14.4" x14ac:dyDescent="0.3"/>
  <cols>
    <col min="14" max="14" width="12.5546875" bestFit="1" customWidth="1"/>
    <col min="15" max="15" width="21.21875" bestFit="1" customWidth="1"/>
    <col min="16" max="16" width="9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7599</v>
      </c>
      <c r="D2">
        <v>874</v>
      </c>
      <c r="E2">
        <v>2060</v>
      </c>
      <c r="F2">
        <v>15400</v>
      </c>
      <c r="G2">
        <v>7800</v>
      </c>
      <c r="H2">
        <v>0.93</v>
      </c>
      <c r="I2">
        <v>6.46</v>
      </c>
      <c r="J2">
        <v>12301</v>
      </c>
      <c r="K2">
        <v>11060</v>
      </c>
      <c r="L2">
        <v>26000</v>
      </c>
      <c r="M2">
        <v>610</v>
      </c>
    </row>
    <row r="3" spans="1:13" x14ac:dyDescent="0.3">
      <c r="A3" t="s">
        <v>15</v>
      </c>
      <c r="B3" t="s">
        <v>16</v>
      </c>
      <c r="C3">
        <v>5540</v>
      </c>
      <c r="D3">
        <v>420</v>
      </c>
      <c r="E3">
        <v>921</v>
      </c>
      <c r="F3">
        <v>9800</v>
      </c>
      <c r="G3">
        <v>6500</v>
      </c>
      <c r="H3">
        <v>0.68</v>
      </c>
      <c r="I3">
        <v>4.2</v>
      </c>
      <c r="J3">
        <v>6400</v>
      </c>
      <c r="K3">
        <v>5400</v>
      </c>
      <c r="L3">
        <v>14500</v>
      </c>
      <c r="M3">
        <v>340</v>
      </c>
    </row>
    <row r="4" spans="1:13" x14ac:dyDescent="0.3">
      <c r="A4" t="s">
        <v>17</v>
      </c>
      <c r="B4" t="s">
        <v>18</v>
      </c>
      <c r="C4">
        <v>2761</v>
      </c>
      <c r="D4">
        <v>281</v>
      </c>
      <c r="E4">
        <v>489</v>
      </c>
      <c r="F4">
        <v>4200</v>
      </c>
      <c r="G4">
        <v>1500</v>
      </c>
      <c r="H4">
        <v>1.19</v>
      </c>
      <c r="I4">
        <v>4.8499999999999996</v>
      </c>
      <c r="J4">
        <v>2750</v>
      </c>
      <c r="K4">
        <v>4110</v>
      </c>
      <c r="L4">
        <v>8000</v>
      </c>
      <c r="M4">
        <v>220</v>
      </c>
    </row>
    <row r="5" spans="1:13" x14ac:dyDescent="0.3">
      <c r="A5" t="s">
        <v>19</v>
      </c>
      <c r="B5" t="s">
        <v>20</v>
      </c>
      <c r="C5">
        <v>2200</v>
      </c>
      <c r="D5">
        <v>180</v>
      </c>
      <c r="E5">
        <v>310</v>
      </c>
      <c r="F5">
        <v>3900</v>
      </c>
      <c r="G5">
        <v>2100</v>
      </c>
      <c r="H5">
        <v>1.05</v>
      </c>
      <c r="I5">
        <v>4.0999999999999996</v>
      </c>
      <c r="J5">
        <v>2400</v>
      </c>
      <c r="K5">
        <v>2100</v>
      </c>
      <c r="L5">
        <v>6200</v>
      </c>
      <c r="M5">
        <v>150</v>
      </c>
    </row>
    <row r="6" spans="1:13" x14ac:dyDescent="0.3">
      <c r="A6" t="s">
        <v>21</v>
      </c>
      <c r="B6" t="s">
        <v>22</v>
      </c>
      <c r="C6">
        <v>3100</v>
      </c>
      <c r="D6">
        <v>350</v>
      </c>
      <c r="E6">
        <v>520</v>
      </c>
      <c r="F6">
        <v>5100</v>
      </c>
      <c r="G6">
        <v>2400</v>
      </c>
      <c r="H6">
        <v>1.1200000000000001</v>
      </c>
      <c r="I6">
        <v>5.5</v>
      </c>
      <c r="J6">
        <v>3300</v>
      </c>
      <c r="K6">
        <v>2900</v>
      </c>
      <c r="L6">
        <v>7200</v>
      </c>
      <c r="M6">
        <v>110</v>
      </c>
    </row>
    <row r="7" spans="1:13" x14ac:dyDescent="0.3">
      <c r="A7" t="s">
        <v>23</v>
      </c>
      <c r="B7" t="s">
        <v>24</v>
      </c>
      <c r="C7">
        <v>2800</v>
      </c>
      <c r="D7">
        <v>240</v>
      </c>
      <c r="E7">
        <v>430</v>
      </c>
      <c r="F7">
        <v>4500</v>
      </c>
      <c r="G7">
        <v>2300</v>
      </c>
      <c r="H7">
        <v>1.08</v>
      </c>
      <c r="I7">
        <v>4.5999999999999996</v>
      </c>
      <c r="J7">
        <v>2900</v>
      </c>
      <c r="K7">
        <v>2500</v>
      </c>
      <c r="L7">
        <v>7000</v>
      </c>
      <c r="M7">
        <v>125</v>
      </c>
    </row>
    <row r="8" spans="1:13" x14ac:dyDescent="0.3">
      <c r="A8" t="s">
        <v>25</v>
      </c>
      <c r="B8" t="s">
        <v>26</v>
      </c>
      <c r="C8">
        <v>1900</v>
      </c>
      <c r="D8">
        <v>145</v>
      </c>
      <c r="E8">
        <v>260</v>
      </c>
      <c r="F8">
        <v>3100</v>
      </c>
      <c r="G8">
        <v>1200</v>
      </c>
      <c r="H8">
        <v>1.22</v>
      </c>
      <c r="I8">
        <v>4.7</v>
      </c>
      <c r="J8">
        <v>2000</v>
      </c>
      <c r="K8">
        <v>1800</v>
      </c>
      <c r="L8">
        <v>5000</v>
      </c>
      <c r="M8">
        <v>95</v>
      </c>
    </row>
    <row r="9" spans="1:13" x14ac:dyDescent="0.3">
      <c r="A9" t="s">
        <v>27</v>
      </c>
      <c r="B9" t="s">
        <v>16</v>
      </c>
      <c r="C9">
        <v>3500</v>
      </c>
      <c r="D9">
        <v>420</v>
      </c>
      <c r="E9">
        <v>610</v>
      </c>
      <c r="F9">
        <v>6200</v>
      </c>
      <c r="G9">
        <v>1800</v>
      </c>
      <c r="H9">
        <v>1.34</v>
      </c>
      <c r="I9">
        <v>6.2</v>
      </c>
      <c r="J9">
        <v>3700</v>
      </c>
      <c r="K9">
        <v>3300</v>
      </c>
      <c r="L9">
        <v>12000</v>
      </c>
      <c r="M9">
        <v>115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5949-3E4D-4ACB-A9FD-E7647705BA30}">
  <dimension ref="A1:AG17"/>
  <sheetViews>
    <sheetView workbookViewId="0">
      <selection activeCell="R2" sqref="R2"/>
    </sheetView>
  </sheetViews>
  <sheetFormatPr baseColWidth="10" defaultRowHeight="14.4" x14ac:dyDescent="0.3"/>
  <cols>
    <col min="1" max="1" width="17.5546875" bestFit="1" customWidth="1"/>
    <col min="2" max="2" width="19.88671875" bestFit="1" customWidth="1"/>
    <col min="7" max="7" width="13.6640625" customWidth="1"/>
    <col min="10" max="10" width="13.33203125" customWidth="1"/>
    <col min="11" max="11" width="16.77734375" customWidth="1"/>
    <col min="12" max="12" width="16.44140625" customWidth="1"/>
    <col min="13" max="13" width="11.77734375" customWidth="1"/>
    <col min="14" max="14" width="13.33203125" bestFit="1" customWidth="1"/>
    <col min="15" max="15" width="14.77734375" bestFit="1" customWidth="1"/>
    <col min="16" max="16" width="22.21875" bestFit="1" customWidth="1"/>
    <col min="17" max="17" width="12.109375" bestFit="1" customWidth="1"/>
    <col min="18" max="18" width="23.6640625" bestFit="1" customWidth="1"/>
    <col min="19" max="19" width="13.6640625" bestFit="1" customWidth="1"/>
    <col min="20" max="20" width="20.44140625" bestFit="1" customWidth="1"/>
    <col min="21" max="21" width="22.6640625" bestFit="1" customWidth="1"/>
    <col min="22" max="22" width="23.5546875" bestFit="1" customWidth="1"/>
    <col min="23" max="23" width="14.5546875" bestFit="1" customWidth="1"/>
    <col min="24" max="24" width="13.109375" bestFit="1" customWidth="1"/>
    <col min="25" max="25" width="18.5546875" bestFit="1" customWidth="1"/>
    <col min="26" max="26" width="20.109375" bestFit="1" customWidth="1"/>
    <col min="27" max="29" width="18.5546875" customWidth="1"/>
  </cols>
  <sheetData>
    <row r="1" spans="1:33" x14ac:dyDescent="0.3">
      <c r="A1" s="2" t="s">
        <v>0</v>
      </c>
      <c r="B1" t="s">
        <v>104</v>
      </c>
      <c r="C1" t="s">
        <v>105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117</v>
      </c>
      <c r="J1" t="s">
        <v>106</v>
      </c>
      <c r="K1" t="s">
        <v>113</v>
      </c>
      <c r="L1" t="s">
        <v>107</v>
      </c>
      <c r="M1" t="s">
        <v>114</v>
      </c>
      <c r="N1" t="s">
        <v>115</v>
      </c>
      <c r="O1" t="s">
        <v>101</v>
      </c>
      <c r="P1" t="s">
        <v>103</v>
      </c>
      <c r="Q1" t="s">
        <v>102</v>
      </c>
      <c r="R1" t="s">
        <v>116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125</v>
      </c>
      <c r="Y1" t="s">
        <v>123</v>
      </c>
      <c r="Z1" t="s">
        <v>127</v>
      </c>
      <c r="AA1" t="s">
        <v>128</v>
      </c>
      <c r="AB1" t="s">
        <v>130</v>
      </c>
      <c r="AC1" t="s">
        <v>131</v>
      </c>
      <c r="AD1" t="s">
        <v>124</v>
      </c>
      <c r="AE1" t="s">
        <v>126</v>
      </c>
      <c r="AF1" t="s">
        <v>129</v>
      </c>
      <c r="AG1" t="s">
        <v>132</v>
      </c>
    </row>
    <row r="2" spans="1:33" x14ac:dyDescent="0.3">
      <c r="A2" s="3" t="s">
        <v>13</v>
      </c>
      <c r="B2">
        <f>_xlfn.XLOOKUP(A2,Table_Financials[Company],Table_Financials[Revenue_M])</f>
        <v>7599</v>
      </c>
      <c r="C2">
        <f>_xlfn.XLOOKUP(A2,Table_Financials[Company],Table_Financials[Profit_M])</f>
        <v>874</v>
      </c>
      <c r="D2">
        <f>_xlfn.XLOOKUP(A2,Table_Financials[Company],Table_Financials[CashFlow_M])</f>
        <v>2060</v>
      </c>
      <c r="E2">
        <f>_xlfn.XLOOKUP(A2,Table_Financials[Company],Table_Financials[Assets_M])</f>
        <v>15400</v>
      </c>
      <c r="F2">
        <f>_xlfn.XLOOKUP(A2,Table_Financials[Company],Table_Financials[Debt_M])</f>
        <v>7800</v>
      </c>
      <c r="G2">
        <f>_xlfn.XLOOKUP(A2,Table_Financials[Company],Table_Financials[Current_Ratio])</f>
        <v>0.93</v>
      </c>
      <c r="H2">
        <f>_xlfn.XLOOKUP(A2,Table_Financials[Company],Table_Financials[ROA_%])</f>
        <v>6.46</v>
      </c>
      <c r="I2">
        <f>_xlfn.XLOOKUP(Tableau6[[#This Row],[Company]],Table_Financials[Company],Table_Financials[EV_M])</f>
        <v>12301</v>
      </c>
      <c r="J2">
        <f>_xlfn.XLOOKUP(A2,Table_Market[Company],Table_Market[GrowthRate_%])</f>
        <v>7.4</v>
      </c>
      <c r="K2">
        <f>_xlfn.XLOOKUP(A2,Table_Market[Company],Table_Market[Countries_Served])</f>
        <v>37</v>
      </c>
      <c r="L2">
        <f>_xlfn.XLOOKUP(A2,Table_Operations[Company],Table_Operations[CustomerRating])</f>
        <v>3.8</v>
      </c>
      <c r="M2">
        <f>_xlfn.XLOOKUP(A2,Table_Operations[Company],Table_Operations[DelayRate_%])</f>
        <v>18</v>
      </c>
      <c r="N2">
        <f>_xlfn.XLOOKUP(A2,Table_Operations[Company],Table_Operations[LoadFactor_%])</f>
        <v>94</v>
      </c>
      <c r="O2" s="5">
        <f>Tableau6[[#This Row],[Profit]]/Tableau6[[#This Row],[Revenue]]</f>
        <v>0.11501513357020661</v>
      </c>
      <c r="P2" s="6">
        <f>Tableau6[[#This Row],[Cash_flow]]/Tableau6[[#This Row],[Profit]]</f>
        <v>2.3569794050343251</v>
      </c>
      <c r="Q2" s="5">
        <f>Tableau6[[#This Row],[Debt]]/Tableau6[[#This Row],[Assets]]</f>
        <v>0.50649350649350644</v>
      </c>
      <c r="R2">
        <f>0.7*Tableau6[[#This Row],[Growth_rate]]+0.3*Tableau6[[#This Row],[countries_served]]</f>
        <v>16.28</v>
      </c>
      <c r="S2" s="6">
        <f>Tableau6[[#This Row],[EV]]/Tableau6[[#This Row],[Revenue]]</f>
        <v>1.6187656270561916</v>
      </c>
      <c r="T2" s="8">
        <f t="shared" ref="T2:T9" si="0">(O2-MIN($O$2:$O$9))/(MAX($O$2:$O$9)-MIN($O$2:$O$9))*100</f>
        <v>88.718888880287849</v>
      </c>
      <c r="U2" s="8">
        <f t="shared" ref="U2:U9" si="1">(P2-MIN($P$2:$P$9))/(MAX($P$2:$P$9)-MIN($P$2:$P$9))*100</f>
        <v>100</v>
      </c>
      <c r="V2" s="6">
        <f t="shared" ref="V2:V9" si="2">(R2-MIN($R$2:$R$9))/(MAX($R$2:$R$9)-MIN($R$2:$R$9))*100</f>
        <v>100</v>
      </c>
      <c r="W2" s="6">
        <f t="shared" ref="W2:W9" si="3">(MAX($S$2:$S$9)-S2)/(MAX($S$2:$S$9)-MIN($S$2:$S$9))*100</f>
        <v>0</v>
      </c>
      <c r="X2" s="6">
        <f t="shared" ref="X2:X9" si="4">(MAX($Q$2:$Q$9)-Q2)/(MAX($Q$2:$Q$9)-MIN($Q$2:$Q$9))*100</f>
        <v>42.036427826366051</v>
      </c>
      <c r="Y2" s="6">
        <f t="shared" ref="Y2:Y9" si="5">(N2-MIN($N$2:$N$9))/(MAX($N$2:$N$9)-MIN($N$2:$N$9))*100</f>
        <v>100</v>
      </c>
      <c r="Z2" s="6">
        <f t="shared" ref="Z2:Z9" si="6">(MAX($G$2:$G$9)-G2)/(MAX($G$2:$G$9)-MIN($G$2:$G$9))*100</f>
        <v>62.121212121212125</v>
      </c>
      <c r="AA2" s="6">
        <f t="shared" ref="AA2:AA9" si="7">(MAX($H$2:$H$9)-H2)/(MAX($H$2:$H$9)-MIN($H$2:$H$9))*100</f>
        <v>0</v>
      </c>
      <c r="AB2" s="6">
        <f t="shared" ref="AB2:AB9" si="8">(L2-MIN($L$2:$L$9))/(MAX($L$2:$L$9)-MIN($L$2:$L$9))*100</f>
        <v>0</v>
      </c>
      <c r="AC2" s="6">
        <f t="shared" ref="AC2:AC9" si="9">(MAX($M$2:$M$9)-M2)/(MAX($M$2:$M$9)-MIN($M$2:$M$9))*100</f>
        <v>0</v>
      </c>
      <c r="AD2" s="6">
        <f>(Tableau6[[#This Row],[profit_margin_norm]]+Tableau6[[#This Row],[cash_conv_ratio_norm]])/2</f>
        <v>94.359444440143932</v>
      </c>
      <c r="AE2" s="6">
        <f>(Tableau6[[#This Row],[Debt_ratio_norm]]+Tableau6[[#This Row],[Current_ratio_norm]]+Tableau6[[#This Row],[ROA_norm]])/3</f>
        <v>34.719213315859392</v>
      </c>
      <c r="AF2" s="6">
        <f>Tableau6[[#This Row],[growth_potential_norm]]</f>
        <v>100</v>
      </c>
      <c r="AG2" s="6">
        <f>0.4*Tableau6[[#This Row],[Customer_rating_norm]]+0.4*Tableau6[[#This Row],[load_factor_norm]]+0.2*Tableau6[[#This Row],[delay_rate_norm]]</f>
        <v>40</v>
      </c>
    </row>
    <row r="3" spans="1:33" x14ac:dyDescent="0.3">
      <c r="A3" s="4" t="s">
        <v>15</v>
      </c>
      <c r="B3">
        <f>_xlfn.XLOOKUP(A3,Table_Financials[Company],Table_Financials[Revenue_M])</f>
        <v>5540</v>
      </c>
      <c r="C3">
        <f>_xlfn.XLOOKUP(A3,Table_Financials[Company],Table_Financials[Profit_M])</f>
        <v>420</v>
      </c>
      <c r="D3">
        <f>_xlfn.XLOOKUP(A3,Table_Financials[Company],Table_Financials[CashFlow_M])</f>
        <v>921</v>
      </c>
      <c r="E3">
        <f>_xlfn.XLOOKUP(A3,Table_Financials[Company],Table_Financials[Assets_M])</f>
        <v>9800</v>
      </c>
      <c r="F3">
        <f>_xlfn.XLOOKUP(A3,Table_Financials[Company],Table_Financials[Debt_M])</f>
        <v>6500</v>
      </c>
      <c r="G3">
        <f>_xlfn.XLOOKUP(A3,Table_Financials[Company],Table_Financials[Current_Ratio])</f>
        <v>0.68</v>
      </c>
      <c r="H3">
        <f>_xlfn.XLOOKUP(A3,Table_Financials[Company],Table_Financials[ROA_%])</f>
        <v>4.2</v>
      </c>
      <c r="I3">
        <f>_xlfn.XLOOKUP(Tableau6[[#This Row],[Company]],Table_Financials[Company],Table_Financials[EV_M])</f>
        <v>6400</v>
      </c>
      <c r="J3">
        <f>_xlfn.XLOOKUP(A3,Table_Market[Company],Table_Market[GrowthRate_%])</f>
        <v>4.5</v>
      </c>
      <c r="K3">
        <f>_xlfn.XLOOKUP(A3,Table_Market[Company],Table_Market[Countries_Served])</f>
        <v>32</v>
      </c>
      <c r="L3">
        <f>_xlfn.XLOOKUP(A3,Table_Operations[Company],Table_Operations[CustomerRating])</f>
        <v>4.0999999999999996</v>
      </c>
      <c r="M3">
        <f>_xlfn.XLOOKUP(A3,Table_Operations[Company],Table_Operations[DelayRate_%])</f>
        <v>15</v>
      </c>
      <c r="N3">
        <f>_xlfn.XLOOKUP(A3,Table_Operations[Company],Table_Operations[LoadFactor_%])</f>
        <v>89</v>
      </c>
      <c r="O3" s="5">
        <f>Tableau6[[#This Row],[Profit]]/Tableau6[[#This Row],[Revenue]]</f>
        <v>7.5812274368231042E-2</v>
      </c>
      <c r="P3" s="6">
        <f>Tableau6[[#This Row],[Cash_flow]]/Tableau6[[#This Row],[Profit]]</f>
        <v>2.1928571428571431</v>
      </c>
      <c r="Q3" s="5">
        <f>Tableau6[[#This Row],[Debt]]/Tableau6[[#This Row],[Assets]]</f>
        <v>0.66326530612244894</v>
      </c>
      <c r="R3">
        <f>0.7*Tableau6[[#This Row],[Growth_rate]]+0.3*Tableau6[[#This Row],[countries_served]]</f>
        <v>12.75</v>
      </c>
      <c r="S3" s="6">
        <f>Tableau6[[#This Row],[EV]]/Tableau6[[#This Row],[Revenue]]</f>
        <v>1.1552346570397112</v>
      </c>
      <c r="T3" s="8">
        <f t="shared" si="0"/>
        <v>0</v>
      </c>
      <c r="U3" s="8">
        <f t="shared" si="1"/>
        <v>81.856893332530262</v>
      </c>
      <c r="V3" s="6">
        <f t="shared" si="2"/>
        <v>48.240469208211145</v>
      </c>
      <c r="W3" s="6">
        <f t="shared" si="3"/>
        <v>74.432950648295787</v>
      </c>
      <c r="X3" s="6">
        <f t="shared" si="4"/>
        <v>0</v>
      </c>
      <c r="Y3" s="6">
        <f t="shared" si="5"/>
        <v>37.5</v>
      </c>
      <c r="Z3" s="6">
        <f t="shared" si="6"/>
        <v>100</v>
      </c>
      <c r="AA3" s="6">
        <f t="shared" si="7"/>
        <v>95.762711864406754</v>
      </c>
      <c r="AB3" s="6">
        <f t="shared" si="8"/>
        <v>42.857142857142819</v>
      </c>
      <c r="AC3" s="6">
        <f t="shared" si="9"/>
        <v>37.5</v>
      </c>
      <c r="AD3" s="6">
        <f>(Tableau6[[#This Row],[profit_margin_norm]]+Tableau6[[#This Row],[cash_conv_ratio_norm]])/2</f>
        <v>40.928446666265131</v>
      </c>
      <c r="AE3" s="6">
        <f>(Tableau6[[#This Row],[Debt_ratio_norm]]+Tableau6[[#This Row],[Current_ratio_norm]]+Tableau6[[#This Row],[ROA_norm]])/3</f>
        <v>65.254237288135585</v>
      </c>
      <c r="AF3" s="6">
        <f>Tableau6[[#This Row],[growth_potential_norm]]</f>
        <v>48.240469208211145</v>
      </c>
      <c r="AG3" s="6">
        <f>0.4*Tableau6[[#This Row],[Customer_rating_norm]]+0.4*Tableau6[[#This Row],[load_factor_norm]]+0.2*Tableau6[[#This Row],[delay_rate_norm]]</f>
        <v>39.642857142857125</v>
      </c>
    </row>
    <row r="4" spans="1:33" x14ac:dyDescent="0.3">
      <c r="A4" s="3" t="s">
        <v>17</v>
      </c>
      <c r="B4">
        <f>_xlfn.XLOOKUP(A4,Table_Financials[Company],Table_Financials[Revenue_M])</f>
        <v>2761</v>
      </c>
      <c r="C4">
        <f>_xlfn.XLOOKUP(A4,Table_Financials[Company],Table_Financials[Profit_M])</f>
        <v>281</v>
      </c>
      <c r="D4">
        <f>_xlfn.XLOOKUP(A4,Table_Financials[Company],Table_Financials[CashFlow_M])</f>
        <v>489</v>
      </c>
      <c r="E4">
        <f>_xlfn.XLOOKUP(A4,Table_Financials[Company],Table_Financials[Assets_M])</f>
        <v>4200</v>
      </c>
      <c r="F4">
        <f>_xlfn.XLOOKUP(A4,Table_Financials[Company],Table_Financials[Debt_M])</f>
        <v>1500</v>
      </c>
      <c r="G4">
        <f>_xlfn.XLOOKUP(A4,Table_Financials[Company],Table_Financials[Current_Ratio])</f>
        <v>1.19</v>
      </c>
      <c r="H4">
        <f>_xlfn.XLOOKUP(A4,Table_Financials[Company],Table_Financials[ROA_%])</f>
        <v>4.8499999999999996</v>
      </c>
      <c r="I4">
        <f>_xlfn.XLOOKUP(Tableau6[[#This Row],[Company]],Table_Financials[Company],Table_Financials[EV_M])</f>
        <v>2750</v>
      </c>
      <c r="J4">
        <f>_xlfn.XLOOKUP(A4,Table_Market[Company],Table_Market[GrowthRate_%])</f>
        <v>11.2</v>
      </c>
      <c r="K4">
        <f>_xlfn.XLOOKUP(A4,Table_Market[Company],Table_Market[Countries_Served])</f>
        <v>28</v>
      </c>
      <c r="L4">
        <f>_xlfn.XLOOKUP(A4,Table_Operations[Company],Table_Operations[CustomerRating])</f>
        <v>4.3</v>
      </c>
      <c r="M4">
        <f>_xlfn.XLOOKUP(A4,Table_Operations[Company],Table_Operations[DelayRate_%])</f>
        <v>12</v>
      </c>
      <c r="N4">
        <f>_xlfn.XLOOKUP(A4,Table_Operations[Company],Table_Operations[LoadFactor_%])</f>
        <v>92</v>
      </c>
      <c r="O4" s="5">
        <f>Tableau6[[#This Row],[Profit]]/Tableau6[[#This Row],[Revenue]]</f>
        <v>0.10177471930459979</v>
      </c>
      <c r="P4" s="6">
        <f>Tableau6[[#This Row],[Cash_flow]]/Tableau6[[#This Row],[Profit]]</f>
        <v>1.7402135231316727</v>
      </c>
      <c r="Q4" s="5">
        <f>Tableau6[[#This Row],[Debt]]/Tableau6[[#This Row],[Assets]]</f>
        <v>0.35714285714285715</v>
      </c>
      <c r="R4">
        <f>0.7*Tableau6[[#This Row],[Growth_rate]]+0.3*Tableau6[[#This Row],[countries_served]]</f>
        <v>16.239999999999998</v>
      </c>
      <c r="S4" s="6">
        <f>Tableau6[[#This Row],[EV]]/Tableau6[[#This Row],[Revenue]]</f>
        <v>0.99601593625498008</v>
      </c>
      <c r="T4" s="8">
        <f t="shared" si="0"/>
        <v>58.75487947201097</v>
      </c>
      <c r="U4" s="8">
        <f t="shared" si="1"/>
        <v>31.818821921090883</v>
      </c>
      <c r="V4" s="6">
        <f t="shared" si="2"/>
        <v>99.413489736070332</v>
      </c>
      <c r="W4" s="6">
        <f t="shared" si="3"/>
        <v>100</v>
      </c>
      <c r="X4" s="6">
        <f t="shared" si="4"/>
        <v>82.082965578111214</v>
      </c>
      <c r="Y4" s="6">
        <f t="shared" si="5"/>
        <v>75</v>
      </c>
      <c r="Z4" s="6">
        <f t="shared" si="6"/>
        <v>22.727272727272744</v>
      </c>
      <c r="AA4" s="6">
        <f t="shared" si="7"/>
        <v>68.220338983050851</v>
      </c>
      <c r="AB4" s="6">
        <f t="shared" si="8"/>
        <v>71.428571428571402</v>
      </c>
      <c r="AC4" s="6">
        <f t="shared" si="9"/>
        <v>75</v>
      </c>
      <c r="AD4" s="6">
        <f>(Tableau6[[#This Row],[profit_margin_norm]]+Tableau6[[#This Row],[cash_conv_ratio_norm]])/2</f>
        <v>45.286850696550928</v>
      </c>
      <c r="AE4" s="6">
        <f>(Tableau6[[#This Row],[Debt_ratio_norm]]+Tableau6[[#This Row],[Current_ratio_norm]]+Tableau6[[#This Row],[ROA_norm]])/3</f>
        <v>57.676859096144938</v>
      </c>
      <c r="AF4" s="6">
        <f>Tableau6[[#This Row],[growth_potential_norm]]</f>
        <v>99.413489736070332</v>
      </c>
      <c r="AG4" s="6">
        <f>0.4*Tableau6[[#This Row],[Customer_rating_norm]]+0.4*Tableau6[[#This Row],[load_factor_norm]]+0.2*Tableau6[[#This Row],[delay_rate_norm]]</f>
        <v>73.571428571428555</v>
      </c>
    </row>
    <row r="5" spans="1:33" x14ac:dyDescent="0.3">
      <c r="A5" s="4" t="s">
        <v>19</v>
      </c>
      <c r="B5">
        <f>_xlfn.XLOOKUP(A5,Table_Financials[Company],Table_Financials[Revenue_M])</f>
        <v>2200</v>
      </c>
      <c r="C5">
        <f>_xlfn.XLOOKUP(A5,Table_Financials[Company],Table_Financials[Profit_M])</f>
        <v>180</v>
      </c>
      <c r="D5">
        <f>_xlfn.XLOOKUP(A5,Table_Financials[Company],Table_Financials[CashFlow_M])</f>
        <v>310</v>
      </c>
      <c r="E5">
        <f>_xlfn.XLOOKUP(A5,Table_Financials[Company],Table_Financials[Assets_M])</f>
        <v>3900</v>
      </c>
      <c r="F5">
        <f>_xlfn.XLOOKUP(A5,Table_Financials[Company],Table_Financials[Debt_M])</f>
        <v>2100</v>
      </c>
      <c r="G5">
        <f>_xlfn.XLOOKUP(A5,Table_Financials[Company],Table_Financials[Current_Ratio])</f>
        <v>1.05</v>
      </c>
      <c r="H5">
        <f>_xlfn.XLOOKUP(A5,Table_Financials[Company],Table_Financials[ROA_%])</f>
        <v>4.0999999999999996</v>
      </c>
      <c r="I5">
        <f>_xlfn.XLOOKUP(Tableau6[[#This Row],[Company]],Table_Financials[Company],Table_Financials[EV_M])</f>
        <v>2400</v>
      </c>
      <c r="J5">
        <f>_xlfn.XLOOKUP(A5,Table_Market[Company],Table_Market[GrowthRate_%])</f>
        <v>5.8</v>
      </c>
      <c r="K5">
        <f>_xlfn.XLOOKUP(A5,Table_Market[Company],Table_Market[Countries_Served])</f>
        <v>18</v>
      </c>
      <c r="L5">
        <f>_xlfn.XLOOKUP(A5,Table_Operations[Company],Table_Operations[CustomerRating])</f>
        <v>4</v>
      </c>
      <c r="M5">
        <f>_xlfn.XLOOKUP(A5,Table_Operations[Company],Table_Operations[DelayRate_%])</f>
        <v>14</v>
      </c>
      <c r="N5">
        <f>_xlfn.XLOOKUP(A5,Table_Operations[Company],Table_Operations[LoadFactor_%])</f>
        <v>86</v>
      </c>
      <c r="O5" s="5">
        <f>Tableau6[[#This Row],[Profit]]/Tableau6[[#This Row],[Revenue]]</f>
        <v>8.1818181818181818E-2</v>
      </c>
      <c r="P5" s="6">
        <f>Tableau6[[#This Row],[Cash_flow]]/Tableau6[[#This Row],[Profit]]</f>
        <v>1.7222222222222223</v>
      </c>
      <c r="Q5" s="5">
        <f>Tableau6[[#This Row],[Debt]]/Tableau6[[#This Row],[Assets]]</f>
        <v>0.53846153846153844</v>
      </c>
      <c r="R5">
        <f>0.7*Tableau6[[#This Row],[Growth_rate]]+0.3*Tableau6[[#This Row],[countries_served]]</f>
        <v>9.4599999999999991</v>
      </c>
      <c r="S5" s="6">
        <f>Tableau6[[#This Row],[EV]]/Tableau6[[#This Row],[Revenue]]</f>
        <v>1.0909090909090908</v>
      </c>
      <c r="T5" s="8">
        <f t="shared" si="0"/>
        <v>13.591800356506248</v>
      </c>
      <c r="U5" s="8">
        <f t="shared" si="1"/>
        <v>29.829950410568379</v>
      </c>
      <c r="V5" s="6">
        <f t="shared" si="2"/>
        <v>0</v>
      </c>
      <c r="W5" s="6">
        <f t="shared" si="3"/>
        <v>84.762231751247612</v>
      </c>
      <c r="X5" s="6">
        <f t="shared" si="4"/>
        <v>33.464593658768415</v>
      </c>
      <c r="Y5" s="6">
        <f t="shared" si="5"/>
        <v>0</v>
      </c>
      <c r="Z5" s="6">
        <f t="shared" si="6"/>
        <v>43.939393939393945</v>
      </c>
      <c r="AA5" s="6">
        <f t="shared" si="7"/>
        <v>100</v>
      </c>
      <c r="AB5" s="6">
        <f t="shared" si="8"/>
        <v>28.571428571428591</v>
      </c>
      <c r="AC5" s="6">
        <f t="shared" si="9"/>
        <v>50</v>
      </c>
      <c r="AD5" s="6">
        <f>(Tableau6[[#This Row],[profit_margin_norm]]+Tableau6[[#This Row],[cash_conv_ratio_norm]])/2</f>
        <v>21.710875383537314</v>
      </c>
      <c r="AE5" s="6">
        <f>(Tableau6[[#This Row],[Debt_ratio_norm]]+Tableau6[[#This Row],[Current_ratio_norm]]+Tableau6[[#This Row],[ROA_norm]])/3</f>
        <v>59.134662532720789</v>
      </c>
      <c r="AF5" s="6">
        <f>Tableau6[[#This Row],[growth_potential_norm]]</f>
        <v>0</v>
      </c>
      <c r="AG5" s="6">
        <f>0.4*Tableau6[[#This Row],[Customer_rating_norm]]+0.4*Tableau6[[#This Row],[load_factor_norm]]+0.2*Tableau6[[#This Row],[delay_rate_norm]]</f>
        <v>21.428571428571438</v>
      </c>
    </row>
    <row r="6" spans="1:33" x14ac:dyDescent="0.3">
      <c r="A6" s="3" t="s">
        <v>21</v>
      </c>
      <c r="B6">
        <f>_xlfn.XLOOKUP(A6,Table_Financials[Company],Table_Financials[Revenue_M])</f>
        <v>3100</v>
      </c>
      <c r="C6">
        <f>_xlfn.XLOOKUP(A6,Table_Financials[Company],Table_Financials[Profit_M])</f>
        <v>350</v>
      </c>
      <c r="D6">
        <f>_xlfn.XLOOKUP(A6,Table_Financials[Company],Table_Financials[CashFlow_M])</f>
        <v>520</v>
      </c>
      <c r="E6">
        <f>_xlfn.XLOOKUP(A6,Table_Financials[Company],Table_Financials[Assets_M])</f>
        <v>5100</v>
      </c>
      <c r="F6">
        <f>_xlfn.XLOOKUP(A6,Table_Financials[Company],Table_Financials[Debt_M])</f>
        <v>2400</v>
      </c>
      <c r="G6">
        <f>_xlfn.XLOOKUP(A6,Table_Financials[Company],Table_Financials[Current_Ratio])</f>
        <v>1.1200000000000001</v>
      </c>
      <c r="H6">
        <f>_xlfn.XLOOKUP(A6,Table_Financials[Company],Table_Financials[ROA_%])</f>
        <v>5.5</v>
      </c>
      <c r="I6">
        <f>_xlfn.XLOOKUP(Tableau6[[#This Row],[Company]],Table_Financials[Company],Table_Financials[EV_M])</f>
        <v>3300</v>
      </c>
      <c r="J6">
        <f>_xlfn.XLOOKUP(A6,Table_Market[Company],Table_Market[GrowthRate_%])</f>
        <v>9.3000000000000007</v>
      </c>
      <c r="K6">
        <f>_xlfn.XLOOKUP(A6,Table_Market[Company],Table_Market[Countries_Served])</f>
        <v>22</v>
      </c>
      <c r="L6">
        <f>_xlfn.XLOOKUP(A6,Table_Operations[Company],Table_Operations[CustomerRating])</f>
        <v>4.2</v>
      </c>
      <c r="M6">
        <f>_xlfn.XLOOKUP(A6,Table_Operations[Company],Table_Operations[DelayRate_%])</f>
        <v>13</v>
      </c>
      <c r="N6">
        <f>_xlfn.XLOOKUP(A6,Table_Operations[Company],Table_Operations[LoadFactor_%])</f>
        <v>90</v>
      </c>
      <c r="O6" s="5">
        <f>Tableau6[[#This Row],[Profit]]/Tableau6[[#This Row],[Revenue]]</f>
        <v>0.11290322580645161</v>
      </c>
      <c r="P6" s="6">
        <f>Tableau6[[#This Row],[Cash_flow]]/Tableau6[[#This Row],[Profit]]</f>
        <v>1.4857142857142858</v>
      </c>
      <c r="Q6" s="5">
        <f>Tableau6[[#This Row],[Debt]]/Tableau6[[#This Row],[Assets]]</f>
        <v>0.47058823529411764</v>
      </c>
      <c r="R6">
        <f>0.7*Tableau6[[#This Row],[Growth_rate]]+0.3*Tableau6[[#This Row],[countries_served]]</f>
        <v>13.11</v>
      </c>
      <c r="S6" s="6">
        <f>Tableau6[[#This Row],[EV]]/Tableau6[[#This Row],[Revenue]]</f>
        <v>1.064516129032258</v>
      </c>
      <c r="T6" s="8">
        <f t="shared" si="0"/>
        <v>83.939489774404379</v>
      </c>
      <c r="U6" s="8">
        <f t="shared" si="1"/>
        <v>3.6848762271878681</v>
      </c>
      <c r="V6" s="6">
        <f t="shared" si="2"/>
        <v>53.519061583577695</v>
      </c>
      <c r="W6" s="6">
        <f t="shared" si="3"/>
        <v>89.000365028018308</v>
      </c>
      <c r="X6" s="6">
        <f t="shared" si="4"/>
        <v>51.663984216811173</v>
      </c>
      <c r="Y6" s="6">
        <f t="shared" si="5"/>
        <v>50</v>
      </c>
      <c r="Z6" s="6">
        <f t="shared" si="6"/>
        <v>33.333333333333329</v>
      </c>
      <c r="AA6" s="6">
        <f t="shared" si="7"/>
        <v>40.677966101694906</v>
      </c>
      <c r="AB6" s="6">
        <f t="shared" si="8"/>
        <v>57.142857142857181</v>
      </c>
      <c r="AC6" s="6">
        <f t="shared" si="9"/>
        <v>62.5</v>
      </c>
      <c r="AD6" s="6">
        <f>(Tableau6[[#This Row],[profit_margin_norm]]+Tableau6[[#This Row],[cash_conv_ratio_norm]])/2</f>
        <v>43.812183000796125</v>
      </c>
      <c r="AE6" s="6">
        <f>(Tableau6[[#This Row],[Debt_ratio_norm]]+Tableau6[[#This Row],[Current_ratio_norm]]+Tableau6[[#This Row],[ROA_norm]])/3</f>
        <v>41.8917612172798</v>
      </c>
      <c r="AF6" s="6">
        <f>Tableau6[[#This Row],[growth_potential_norm]]</f>
        <v>53.519061583577695</v>
      </c>
      <c r="AG6" s="6">
        <f>0.4*Tableau6[[#This Row],[Customer_rating_norm]]+0.4*Tableau6[[#This Row],[load_factor_norm]]+0.2*Tableau6[[#This Row],[delay_rate_norm]]</f>
        <v>55.357142857142875</v>
      </c>
    </row>
    <row r="7" spans="1:33" x14ac:dyDescent="0.3">
      <c r="A7" s="4" t="s">
        <v>23</v>
      </c>
      <c r="B7">
        <f>_xlfn.XLOOKUP(A7,Table_Financials[Company],Table_Financials[Revenue_M])</f>
        <v>2800</v>
      </c>
      <c r="C7">
        <f>_xlfn.XLOOKUP(A7,Table_Financials[Company],Table_Financials[Profit_M])</f>
        <v>240</v>
      </c>
      <c r="D7">
        <f>_xlfn.XLOOKUP(A7,Table_Financials[Company],Table_Financials[CashFlow_M])</f>
        <v>430</v>
      </c>
      <c r="E7">
        <f>_xlfn.XLOOKUP(A7,Table_Financials[Company],Table_Financials[Assets_M])</f>
        <v>4500</v>
      </c>
      <c r="F7">
        <f>_xlfn.XLOOKUP(A7,Table_Financials[Company],Table_Financials[Debt_M])</f>
        <v>2300</v>
      </c>
      <c r="G7">
        <f>_xlfn.XLOOKUP(A7,Table_Financials[Company],Table_Financials[Current_Ratio])</f>
        <v>1.08</v>
      </c>
      <c r="H7">
        <f>_xlfn.XLOOKUP(A7,Table_Financials[Company],Table_Financials[ROA_%])</f>
        <v>4.5999999999999996</v>
      </c>
      <c r="I7">
        <f>_xlfn.XLOOKUP(Tableau6[[#This Row],[Company]],Table_Financials[Company],Table_Financials[EV_M])</f>
        <v>2900</v>
      </c>
      <c r="J7">
        <f>_xlfn.XLOOKUP(A7,Table_Market[Company],Table_Market[GrowthRate_%])</f>
        <v>6.5</v>
      </c>
      <c r="K7">
        <f>_xlfn.XLOOKUP(A7,Table_Market[Company],Table_Market[Countries_Served])</f>
        <v>20</v>
      </c>
      <c r="L7">
        <f>_xlfn.XLOOKUP(A7,Table_Operations[Company],Table_Operations[CustomerRating])</f>
        <v>3.9</v>
      </c>
      <c r="M7">
        <f>_xlfn.XLOOKUP(A7,Table_Operations[Company],Table_Operations[DelayRate_%])</f>
        <v>17</v>
      </c>
      <c r="N7">
        <f>_xlfn.XLOOKUP(A7,Table_Operations[Company],Table_Operations[LoadFactor_%])</f>
        <v>88</v>
      </c>
      <c r="O7" s="5">
        <f>Tableau6[[#This Row],[Profit]]/Tableau6[[#This Row],[Revenue]]</f>
        <v>8.5714285714285715E-2</v>
      </c>
      <c r="P7" s="6">
        <f>Tableau6[[#This Row],[Cash_flow]]/Tableau6[[#This Row],[Profit]]</f>
        <v>1.7916666666666667</v>
      </c>
      <c r="Q7" s="5">
        <f>Tableau6[[#This Row],[Debt]]/Tableau6[[#This Row],[Assets]]</f>
        <v>0.51111111111111107</v>
      </c>
      <c r="R7">
        <f>0.7*Tableau6[[#This Row],[Growth_rate]]+0.3*Tableau6[[#This Row],[countries_served]]</f>
        <v>10.55</v>
      </c>
      <c r="S7" s="6">
        <f>Tableau6[[#This Row],[EV]]/Tableau6[[#This Row],[Revenue]]</f>
        <v>1.0357142857142858</v>
      </c>
      <c r="T7" s="8">
        <f t="shared" si="0"/>
        <v>22.408963585434186</v>
      </c>
      <c r="U7" s="8">
        <f t="shared" si="1"/>
        <v>37.506775883876415</v>
      </c>
      <c r="V7" s="6">
        <f t="shared" si="2"/>
        <v>15.982404692082131</v>
      </c>
      <c r="W7" s="6">
        <f t="shared" si="3"/>
        <v>93.62531205624029</v>
      </c>
      <c r="X7" s="6">
        <f t="shared" si="4"/>
        <v>40.798274002157505</v>
      </c>
      <c r="Y7" s="6">
        <f t="shared" si="5"/>
        <v>25</v>
      </c>
      <c r="Z7" s="6">
        <f t="shared" si="6"/>
        <v>39.393939393939391</v>
      </c>
      <c r="AA7" s="6">
        <f t="shared" si="7"/>
        <v>78.813559322033896</v>
      </c>
      <c r="AB7" s="6">
        <f t="shared" si="8"/>
        <v>14.285714285714295</v>
      </c>
      <c r="AC7" s="6">
        <f t="shared" si="9"/>
        <v>12.5</v>
      </c>
      <c r="AD7" s="6">
        <f>(Tableau6[[#This Row],[profit_margin_norm]]+Tableau6[[#This Row],[cash_conv_ratio_norm]])/2</f>
        <v>29.957869734655301</v>
      </c>
      <c r="AE7" s="6">
        <f>(Tableau6[[#This Row],[Debt_ratio_norm]]+Tableau6[[#This Row],[Current_ratio_norm]]+Tableau6[[#This Row],[ROA_norm]])/3</f>
        <v>53.001924239376933</v>
      </c>
      <c r="AF7" s="6">
        <f>Tableau6[[#This Row],[growth_potential_norm]]</f>
        <v>15.982404692082131</v>
      </c>
      <c r="AG7" s="6">
        <f>0.4*Tableau6[[#This Row],[Customer_rating_norm]]+0.4*Tableau6[[#This Row],[load_factor_norm]]+0.2*Tableau6[[#This Row],[delay_rate_norm]]</f>
        <v>18.214285714285719</v>
      </c>
    </row>
    <row r="8" spans="1:33" x14ac:dyDescent="0.3">
      <c r="A8" s="3" t="s">
        <v>25</v>
      </c>
      <c r="B8">
        <f>_xlfn.XLOOKUP(A8,Table_Financials[Company],Table_Financials[Revenue_M])</f>
        <v>1900</v>
      </c>
      <c r="C8">
        <f>_xlfn.XLOOKUP(A8,Table_Financials[Company],Table_Financials[Profit_M])</f>
        <v>145</v>
      </c>
      <c r="D8">
        <f>_xlfn.XLOOKUP(A8,Table_Financials[Company],Table_Financials[CashFlow_M])</f>
        <v>260</v>
      </c>
      <c r="E8">
        <f>_xlfn.XLOOKUP(A8,Table_Financials[Company],Table_Financials[Assets_M])</f>
        <v>3100</v>
      </c>
      <c r="F8">
        <f>_xlfn.XLOOKUP(A8,Table_Financials[Company],Table_Financials[Debt_M])</f>
        <v>1200</v>
      </c>
      <c r="G8">
        <f>_xlfn.XLOOKUP(A8,Table_Financials[Company],Table_Financials[Current_Ratio])</f>
        <v>1.22</v>
      </c>
      <c r="H8">
        <f>_xlfn.XLOOKUP(A8,Table_Financials[Company],Table_Financials[ROA_%])</f>
        <v>4.7</v>
      </c>
      <c r="I8">
        <f>_xlfn.XLOOKUP(Tableau6[[#This Row],[Company]],Table_Financials[Company],Table_Financials[EV_M])</f>
        <v>2000</v>
      </c>
      <c r="J8">
        <f>_xlfn.XLOOKUP(A8,Table_Market[Company],Table_Market[GrowthRate_%])</f>
        <v>8.4</v>
      </c>
      <c r="K8">
        <f>_xlfn.XLOOKUP(A8,Table_Market[Company],Table_Market[Countries_Served])</f>
        <v>19</v>
      </c>
      <c r="L8">
        <f>_xlfn.XLOOKUP(A8,Table_Operations[Company],Table_Operations[CustomerRating])</f>
        <v>4.4000000000000004</v>
      </c>
      <c r="M8">
        <f>_xlfn.XLOOKUP(A8,Table_Operations[Company],Table_Operations[DelayRate_%])</f>
        <v>11</v>
      </c>
      <c r="N8">
        <f>_xlfn.XLOOKUP(A8,Table_Operations[Company],Table_Operations[LoadFactor_%])</f>
        <v>91</v>
      </c>
      <c r="O8" s="5">
        <f>Tableau6[[#This Row],[Profit]]/Tableau6[[#This Row],[Revenue]]</f>
        <v>7.6315789473684212E-2</v>
      </c>
      <c r="P8" s="6">
        <f>Tableau6[[#This Row],[Cash_flow]]/Tableau6[[#This Row],[Profit]]</f>
        <v>1.7931034482758621</v>
      </c>
      <c r="Q8" s="5">
        <f>Tableau6[[#This Row],[Debt]]/Tableau6[[#This Row],[Assets]]</f>
        <v>0.38709677419354838</v>
      </c>
      <c r="R8">
        <f>0.7*Tableau6[[#This Row],[Growth_rate]]+0.3*Tableau6[[#This Row],[countries_served]]</f>
        <v>11.58</v>
      </c>
      <c r="S8" s="6">
        <f>Tableau6[[#This Row],[EV]]/Tableau6[[#This Row],[Revenue]]</f>
        <v>1.0526315789473684</v>
      </c>
      <c r="T8" s="8">
        <f t="shared" si="0"/>
        <v>1.1394908840729419</v>
      </c>
      <c r="U8" s="8">
        <f t="shared" si="1"/>
        <v>37.665606755737954</v>
      </c>
      <c r="V8" s="6">
        <f t="shared" si="2"/>
        <v>31.085043988269799</v>
      </c>
      <c r="W8" s="6">
        <f t="shared" si="3"/>
        <v>90.908764222821489</v>
      </c>
      <c r="X8" s="6">
        <f t="shared" si="4"/>
        <v>74.051191526919695</v>
      </c>
      <c r="Y8" s="6">
        <f t="shared" si="5"/>
        <v>62.5</v>
      </c>
      <c r="Z8" s="6">
        <f t="shared" si="6"/>
        <v>18.181818181818198</v>
      </c>
      <c r="AA8" s="6">
        <f t="shared" si="7"/>
        <v>74.576271186440664</v>
      </c>
      <c r="AB8" s="6">
        <f t="shared" si="8"/>
        <v>85.714285714285765</v>
      </c>
      <c r="AC8" s="6">
        <f t="shared" si="9"/>
        <v>87.5</v>
      </c>
      <c r="AD8" s="6">
        <f>(Tableau6[[#This Row],[profit_margin_norm]]+Tableau6[[#This Row],[cash_conv_ratio_norm]])/2</f>
        <v>19.402548819905448</v>
      </c>
      <c r="AE8" s="6">
        <f>(Tableau6[[#This Row],[Debt_ratio_norm]]+Tableau6[[#This Row],[Current_ratio_norm]]+Tableau6[[#This Row],[ROA_norm]])/3</f>
        <v>55.603093631726189</v>
      </c>
      <c r="AF8" s="6">
        <f>Tableau6[[#This Row],[growth_potential_norm]]</f>
        <v>31.085043988269799</v>
      </c>
      <c r="AG8" s="6">
        <f>0.4*Tableau6[[#This Row],[Customer_rating_norm]]+0.4*Tableau6[[#This Row],[load_factor_norm]]+0.2*Tableau6[[#This Row],[delay_rate_norm]]</f>
        <v>76.785714285714306</v>
      </c>
    </row>
    <row r="9" spans="1:33" x14ac:dyDescent="0.3">
      <c r="A9" s="4" t="s">
        <v>27</v>
      </c>
      <c r="B9">
        <f>_xlfn.XLOOKUP(A9,Table_Financials[Company],Table_Financials[Revenue_M])</f>
        <v>3500</v>
      </c>
      <c r="C9">
        <f>_xlfn.XLOOKUP(A9,Table_Financials[Company],Table_Financials[Profit_M])</f>
        <v>420</v>
      </c>
      <c r="D9">
        <f>_xlfn.XLOOKUP(A9,Table_Financials[Company],Table_Financials[CashFlow_M])</f>
        <v>610</v>
      </c>
      <c r="E9">
        <f>_xlfn.XLOOKUP(A9,Table_Financials[Company],Table_Financials[Assets_M])</f>
        <v>6200</v>
      </c>
      <c r="F9">
        <f>_xlfn.XLOOKUP(A9,Table_Financials[Company],Table_Financials[Debt_M])</f>
        <v>1800</v>
      </c>
      <c r="G9">
        <f>_xlfn.XLOOKUP(A9,Table_Financials[Company],Table_Financials[Current_Ratio])</f>
        <v>1.34</v>
      </c>
      <c r="H9">
        <f>_xlfn.XLOOKUP(A9,Table_Financials[Company],Table_Financials[ROA_%])</f>
        <v>6.2</v>
      </c>
      <c r="I9">
        <f>_xlfn.XLOOKUP(Tableau6[[#This Row],[Company]],Table_Financials[Company],Table_Financials[EV_M])</f>
        <v>3700</v>
      </c>
      <c r="J9">
        <f>_xlfn.XLOOKUP(A9,Table_Market[Company],Table_Market[GrowthRate_%])</f>
        <v>10.1</v>
      </c>
      <c r="K9">
        <f>_xlfn.XLOOKUP(A9,Table_Market[Company],Table_Market[Countries_Served])</f>
        <v>21</v>
      </c>
      <c r="L9">
        <f>_xlfn.XLOOKUP(A9,Table_Operations[Company],Table_Operations[CustomerRating])</f>
        <v>4.5</v>
      </c>
      <c r="M9">
        <f>_xlfn.XLOOKUP(A9,Table_Operations[Company],Table_Operations[DelayRate_%])</f>
        <v>10</v>
      </c>
      <c r="N9">
        <f>_xlfn.XLOOKUP(A9,Table_Operations[Company],Table_Operations[LoadFactor_%])</f>
        <v>93</v>
      </c>
      <c r="O9" s="5">
        <f>Tableau6[[#This Row],[Profit]]/Tableau6[[#This Row],[Revenue]]</f>
        <v>0.12</v>
      </c>
      <c r="P9" s="6">
        <f>Tableau6[[#This Row],[Cash_flow]]/Tableau6[[#This Row],[Profit]]</f>
        <v>1.4523809523809523</v>
      </c>
      <c r="Q9" s="5">
        <f>Tableau6[[#This Row],[Debt]]/Tableau6[[#This Row],[Assets]]</f>
        <v>0.29032258064516131</v>
      </c>
      <c r="R9">
        <f>0.7*Tableau6[[#This Row],[Growth_rate]]+0.3*Tableau6[[#This Row],[countries_served]]</f>
        <v>13.37</v>
      </c>
      <c r="S9" s="6">
        <f>Tableau6[[#This Row],[EV]]/Tableau6[[#This Row],[Revenue]]</f>
        <v>1.0571428571428572</v>
      </c>
      <c r="T9" s="8">
        <f t="shared" si="0"/>
        <v>100</v>
      </c>
      <c r="U9" s="8">
        <f t="shared" si="1"/>
        <v>0</v>
      </c>
      <c r="V9" s="6">
        <f t="shared" si="2"/>
        <v>57.331378299120217</v>
      </c>
      <c r="W9" s="6">
        <f t="shared" si="3"/>
        <v>90.184351467243133</v>
      </c>
      <c r="X9" s="6">
        <f t="shared" si="4"/>
        <v>100</v>
      </c>
      <c r="Y9" s="6">
        <f t="shared" si="5"/>
        <v>87.5</v>
      </c>
      <c r="Z9" s="6">
        <f t="shared" si="6"/>
        <v>0</v>
      </c>
      <c r="AA9" s="6">
        <f t="shared" si="7"/>
        <v>11.016949152542363</v>
      </c>
      <c r="AB9" s="6">
        <f t="shared" si="8"/>
        <v>100</v>
      </c>
      <c r="AC9" s="6">
        <f t="shared" si="9"/>
        <v>100</v>
      </c>
      <c r="AD9" s="6">
        <f>(Tableau6[[#This Row],[profit_margin_norm]]+Tableau6[[#This Row],[cash_conv_ratio_norm]])/2</f>
        <v>50</v>
      </c>
      <c r="AE9" s="6">
        <f>(Tableau6[[#This Row],[Debt_ratio_norm]]+Tableau6[[#This Row],[Current_ratio_norm]]+Tableau6[[#This Row],[ROA_norm]])/3</f>
        <v>37.005649717514125</v>
      </c>
      <c r="AF9" s="6">
        <f>Tableau6[[#This Row],[growth_potential_norm]]</f>
        <v>57.331378299120217</v>
      </c>
      <c r="AG9" s="6">
        <f>0.4*Tableau6[[#This Row],[Customer_rating_norm]]+0.4*Tableau6[[#This Row],[load_factor_norm]]+0.2*Tableau6[[#This Row],[delay_rate_norm]]</f>
        <v>95</v>
      </c>
    </row>
    <row r="17" spans="18:18" x14ac:dyDescent="0.3">
      <c r="R1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F19" sqref="F19"/>
    </sheetView>
  </sheetViews>
  <sheetFormatPr baseColWidth="10" defaultColWidth="8.88671875" defaultRowHeight="14.4" x14ac:dyDescent="0.3"/>
  <cols>
    <col min="2" max="2" width="15.6640625" bestFit="1" customWidth="1"/>
    <col min="3" max="3" width="18" bestFit="1" customWidth="1"/>
  </cols>
  <sheetData>
    <row r="1" spans="1:5" x14ac:dyDescent="0.3">
      <c r="A1" t="s">
        <v>0</v>
      </c>
      <c r="B1" t="s">
        <v>28</v>
      </c>
      <c r="C1" t="s">
        <v>29</v>
      </c>
      <c r="D1" t="s">
        <v>31</v>
      </c>
      <c r="E1" t="s">
        <v>32</v>
      </c>
    </row>
    <row r="2" spans="1:5" x14ac:dyDescent="0.3">
      <c r="A2" t="s">
        <v>13</v>
      </c>
      <c r="B2">
        <v>7.4</v>
      </c>
      <c r="C2">
        <v>37</v>
      </c>
      <c r="D2">
        <v>72</v>
      </c>
      <c r="E2">
        <v>78</v>
      </c>
    </row>
    <row r="3" spans="1:5" x14ac:dyDescent="0.3">
      <c r="A3" t="s">
        <v>15</v>
      </c>
      <c r="B3">
        <v>4.5</v>
      </c>
      <c r="C3">
        <v>32</v>
      </c>
      <c r="D3">
        <v>81</v>
      </c>
      <c r="E3">
        <v>80</v>
      </c>
    </row>
    <row r="4" spans="1:5" x14ac:dyDescent="0.3">
      <c r="A4" t="s">
        <v>17</v>
      </c>
      <c r="B4">
        <v>11.2</v>
      </c>
      <c r="C4">
        <v>28</v>
      </c>
      <c r="D4">
        <v>77</v>
      </c>
      <c r="E4">
        <v>84</v>
      </c>
    </row>
    <row r="5" spans="1:5" x14ac:dyDescent="0.3">
      <c r="A5" t="s">
        <v>19</v>
      </c>
      <c r="B5">
        <v>5.8</v>
      </c>
      <c r="C5">
        <v>18</v>
      </c>
      <c r="D5">
        <v>73</v>
      </c>
      <c r="E5">
        <v>70</v>
      </c>
    </row>
    <row r="6" spans="1:5" x14ac:dyDescent="0.3">
      <c r="A6" t="s">
        <v>21</v>
      </c>
      <c r="B6">
        <v>9.3000000000000007</v>
      </c>
      <c r="C6">
        <v>22</v>
      </c>
      <c r="D6">
        <v>75</v>
      </c>
      <c r="E6">
        <v>76</v>
      </c>
    </row>
    <row r="7" spans="1:5" x14ac:dyDescent="0.3">
      <c r="A7" t="s">
        <v>23</v>
      </c>
      <c r="B7">
        <v>6.5</v>
      </c>
      <c r="C7">
        <v>20</v>
      </c>
      <c r="D7">
        <v>79</v>
      </c>
      <c r="E7">
        <v>74</v>
      </c>
    </row>
    <row r="8" spans="1:5" x14ac:dyDescent="0.3">
      <c r="A8" t="s">
        <v>25</v>
      </c>
      <c r="B8">
        <v>8.4</v>
      </c>
      <c r="C8">
        <v>19</v>
      </c>
      <c r="D8">
        <v>76</v>
      </c>
      <c r="E8">
        <v>73</v>
      </c>
    </row>
    <row r="9" spans="1:5" x14ac:dyDescent="0.3">
      <c r="A9" t="s">
        <v>27</v>
      </c>
      <c r="B9">
        <v>10.1</v>
      </c>
      <c r="C9">
        <v>21</v>
      </c>
      <c r="D9">
        <v>83</v>
      </c>
      <c r="E9">
        <v>75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11.33203125" bestFit="1" customWidth="1"/>
    <col min="2" max="2" width="12.5546875" bestFit="1" customWidth="1"/>
    <col min="3" max="3" width="14.109375" bestFit="1" customWidth="1"/>
    <col min="4" max="4" width="16.6640625" bestFit="1" customWidth="1"/>
    <col min="5" max="5" width="15" bestFit="1" customWidth="1"/>
    <col min="6" max="6" width="19.88671875" bestFit="1" customWidth="1"/>
    <col min="7" max="7" width="12.21875" bestFit="1" customWidth="1"/>
  </cols>
  <sheetData>
    <row r="1" spans="1:7" x14ac:dyDescent="0.3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13</v>
      </c>
      <c r="B2">
        <v>3200</v>
      </c>
      <c r="C2">
        <v>18</v>
      </c>
      <c r="D2">
        <v>3.8</v>
      </c>
      <c r="E2">
        <v>94</v>
      </c>
      <c r="F2">
        <v>1.5</v>
      </c>
      <c r="G2">
        <v>82</v>
      </c>
    </row>
    <row r="3" spans="1:7" x14ac:dyDescent="0.3">
      <c r="A3" t="s">
        <v>15</v>
      </c>
      <c r="B3">
        <v>2100</v>
      </c>
      <c r="C3">
        <v>15</v>
      </c>
      <c r="D3">
        <v>4.0999999999999996</v>
      </c>
      <c r="E3">
        <v>89</v>
      </c>
      <c r="F3">
        <v>1.8</v>
      </c>
      <c r="G3">
        <v>85</v>
      </c>
    </row>
    <row r="4" spans="1:7" x14ac:dyDescent="0.3">
      <c r="A4" t="s">
        <v>17</v>
      </c>
      <c r="B4">
        <v>1400</v>
      </c>
      <c r="C4">
        <v>12</v>
      </c>
      <c r="D4">
        <v>4.3</v>
      </c>
      <c r="E4">
        <v>92</v>
      </c>
      <c r="F4">
        <v>1.2</v>
      </c>
      <c r="G4">
        <v>88</v>
      </c>
    </row>
    <row r="5" spans="1:7" x14ac:dyDescent="0.3">
      <c r="A5" t="s">
        <v>19</v>
      </c>
      <c r="B5">
        <v>900</v>
      </c>
      <c r="C5">
        <v>14</v>
      </c>
      <c r="D5">
        <v>4</v>
      </c>
      <c r="E5">
        <v>86</v>
      </c>
      <c r="F5">
        <v>2.1</v>
      </c>
      <c r="G5">
        <v>84</v>
      </c>
    </row>
    <row r="6" spans="1:7" x14ac:dyDescent="0.3">
      <c r="A6" t="s">
        <v>21</v>
      </c>
      <c r="B6">
        <v>1100</v>
      </c>
      <c r="C6">
        <v>13</v>
      </c>
      <c r="D6">
        <v>4.2</v>
      </c>
      <c r="E6">
        <v>90</v>
      </c>
      <c r="F6">
        <v>1.4</v>
      </c>
      <c r="G6">
        <v>87</v>
      </c>
    </row>
    <row r="7" spans="1:7" x14ac:dyDescent="0.3">
      <c r="A7" t="s">
        <v>23</v>
      </c>
      <c r="B7">
        <v>1050</v>
      </c>
      <c r="C7">
        <v>17</v>
      </c>
      <c r="D7">
        <v>3.9</v>
      </c>
      <c r="E7">
        <v>88</v>
      </c>
      <c r="F7">
        <v>1.9</v>
      </c>
      <c r="G7">
        <v>83</v>
      </c>
    </row>
    <row r="8" spans="1:7" x14ac:dyDescent="0.3">
      <c r="A8" t="s">
        <v>25</v>
      </c>
      <c r="B8">
        <v>780</v>
      </c>
      <c r="C8">
        <v>11</v>
      </c>
      <c r="D8">
        <v>4.4000000000000004</v>
      </c>
      <c r="E8">
        <v>91</v>
      </c>
      <c r="F8">
        <v>1.1000000000000001</v>
      </c>
      <c r="G8">
        <v>89</v>
      </c>
    </row>
    <row r="9" spans="1:7" x14ac:dyDescent="0.3">
      <c r="A9" t="s">
        <v>27</v>
      </c>
      <c r="B9">
        <v>980</v>
      </c>
      <c r="C9">
        <v>10</v>
      </c>
      <c r="D9">
        <v>4.5</v>
      </c>
      <c r="E9">
        <v>93</v>
      </c>
      <c r="F9">
        <v>0.9</v>
      </c>
      <c r="G9">
        <v>90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39</v>
      </c>
      <c r="B1" t="s">
        <v>40</v>
      </c>
    </row>
    <row r="2" spans="1:2" x14ac:dyDescent="0.3">
      <c r="A2">
        <v>1</v>
      </c>
      <c r="B2" t="s">
        <v>41</v>
      </c>
    </row>
    <row r="3" spans="1:2" x14ac:dyDescent="0.3">
      <c r="A3">
        <v>2</v>
      </c>
      <c r="B3" t="s">
        <v>42</v>
      </c>
    </row>
    <row r="4" spans="1:2" x14ac:dyDescent="0.3">
      <c r="A4">
        <v>3</v>
      </c>
      <c r="B4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7"/>
  <sheetViews>
    <sheetView topLeftCell="A93" workbookViewId="0">
      <selection activeCell="I111" sqref="I111"/>
    </sheetView>
  </sheetViews>
  <sheetFormatPr baseColWidth="10" defaultColWidth="8.88671875" defaultRowHeight="14.4" x14ac:dyDescent="0.3"/>
  <cols>
    <col min="4" max="4" width="10.6640625" bestFit="1" customWidth="1"/>
    <col min="5" max="5" width="12.5546875" bestFit="1" customWidth="1"/>
    <col min="7" max="7" width="10.6640625" bestFit="1" customWidth="1"/>
    <col min="8" max="8" width="16.88671875" bestFit="1" customWidth="1"/>
    <col min="9" max="9" width="17.88671875" bestFit="1" customWidth="1"/>
    <col min="10" max="10" width="12.6640625" bestFit="1" customWidth="1"/>
    <col min="12" max="12" width="19.5546875" bestFit="1" customWidth="1"/>
    <col min="13" max="13" width="20.6640625" bestFit="1" customWidth="1"/>
  </cols>
  <sheetData>
    <row r="1" spans="1:13" x14ac:dyDescent="0.3">
      <c r="A1" t="s">
        <v>0</v>
      </c>
      <c r="B1" t="s">
        <v>56</v>
      </c>
      <c r="C1" t="s">
        <v>57</v>
      </c>
      <c r="D1" t="s">
        <v>2</v>
      </c>
      <c r="E1" t="s">
        <v>30</v>
      </c>
      <c r="F1" t="s">
        <v>58</v>
      </c>
      <c r="G1" t="s">
        <v>59</v>
      </c>
      <c r="H1" t="s">
        <v>60</v>
      </c>
      <c r="I1" t="s">
        <v>61</v>
      </c>
      <c r="J1" t="s">
        <v>36</v>
      </c>
    </row>
    <row r="2" spans="1:13" x14ac:dyDescent="0.3">
      <c r="A2" t="s">
        <v>13</v>
      </c>
      <c r="B2">
        <v>2021</v>
      </c>
      <c r="C2" t="s">
        <v>62</v>
      </c>
      <c r="D2">
        <v>526.4</v>
      </c>
      <c r="E2">
        <v>12.64</v>
      </c>
      <c r="F2">
        <v>235</v>
      </c>
      <c r="G2">
        <v>101</v>
      </c>
      <c r="H2">
        <v>12.4</v>
      </c>
      <c r="I2">
        <v>183514</v>
      </c>
      <c r="J2">
        <v>94.6</v>
      </c>
    </row>
    <row r="3" spans="1:13" x14ac:dyDescent="0.3">
      <c r="A3" t="s">
        <v>13</v>
      </c>
      <c r="B3">
        <v>2021</v>
      </c>
      <c r="C3" t="s">
        <v>63</v>
      </c>
      <c r="D3">
        <v>549.79999999999995</v>
      </c>
      <c r="E3">
        <v>13.11</v>
      </c>
      <c r="F3">
        <v>223</v>
      </c>
      <c r="G3">
        <v>109.7</v>
      </c>
      <c r="H3">
        <v>11.2</v>
      </c>
      <c r="I3">
        <v>174736</v>
      </c>
      <c r="J3">
        <v>94.3</v>
      </c>
    </row>
    <row r="4" spans="1:13" x14ac:dyDescent="0.3">
      <c r="A4" t="s">
        <v>13</v>
      </c>
      <c r="B4">
        <v>2021</v>
      </c>
      <c r="C4" t="s">
        <v>64</v>
      </c>
      <c r="D4">
        <v>644.70000000000005</v>
      </c>
      <c r="E4">
        <v>14.9</v>
      </c>
      <c r="F4">
        <v>278</v>
      </c>
      <c r="G4">
        <v>119.4</v>
      </c>
      <c r="H4">
        <v>12.1</v>
      </c>
      <c r="I4">
        <v>199213</v>
      </c>
      <c r="J4">
        <v>92.9</v>
      </c>
    </row>
    <row r="5" spans="1:13" x14ac:dyDescent="0.3">
      <c r="A5" t="s">
        <v>13</v>
      </c>
      <c r="B5">
        <v>2021</v>
      </c>
      <c r="C5" t="s">
        <v>65</v>
      </c>
      <c r="D5">
        <v>626</v>
      </c>
      <c r="E5">
        <v>15.62</v>
      </c>
      <c r="F5">
        <v>273</v>
      </c>
      <c r="G5">
        <v>124.7</v>
      </c>
      <c r="H5">
        <v>10.9</v>
      </c>
      <c r="I5">
        <v>198716</v>
      </c>
      <c r="J5">
        <v>92.5</v>
      </c>
    </row>
    <row r="6" spans="1:13" x14ac:dyDescent="0.3">
      <c r="A6" t="s">
        <v>13</v>
      </c>
      <c r="B6">
        <v>2021</v>
      </c>
      <c r="C6" t="s">
        <v>66</v>
      </c>
      <c r="D6">
        <v>651.9</v>
      </c>
      <c r="E6">
        <v>15.87</v>
      </c>
      <c r="F6">
        <v>282</v>
      </c>
      <c r="G6">
        <v>126.4</v>
      </c>
      <c r="H6">
        <v>12.8</v>
      </c>
      <c r="I6">
        <v>170612</v>
      </c>
      <c r="J6">
        <v>91.7</v>
      </c>
    </row>
    <row r="7" spans="1:13" x14ac:dyDescent="0.3">
      <c r="A7" t="s">
        <v>13</v>
      </c>
      <c r="B7">
        <v>2021</v>
      </c>
      <c r="C7" t="s">
        <v>67</v>
      </c>
      <c r="D7">
        <v>755.6</v>
      </c>
      <c r="E7">
        <v>19.07</v>
      </c>
      <c r="F7">
        <v>326</v>
      </c>
      <c r="G7">
        <v>161.69999999999999</v>
      </c>
      <c r="H7">
        <v>11.2</v>
      </c>
      <c r="I7">
        <v>174114</v>
      </c>
      <c r="J7">
        <v>90.2</v>
      </c>
      <c r="L7" s="9" t="s">
        <v>133</v>
      </c>
      <c r="M7" t="s">
        <v>140</v>
      </c>
    </row>
    <row r="8" spans="1:13" x14ac:dyDescent="0.3">
      <c r="A8" t="s">
        <v>13</v>
      </c>
      <c r="B8">
        <v>2021</v>
      </c>
      <c r="C8" t="s">
        <v>68</v>
      </c>
      <c r="D8">
        <v>770.1</v>
      </c>
      <c r="E8">
        <v>20.29</v>
      </c>
      <c r="F8">
        <v>323</v>
      </c>
      <c r="G8">
        <v>152.30000000000001</v>
      </c>
      <c r="H8">
        <v>13.6</v>
      </c>
      <c r="I8">
        <v>203322</v>
      </c>
      <c r="J8">
        <v>94.7</v>
      </c>
      <c r="L8" s="10" t="s">
        <v>71</v>
      </c>
      <c r="M8">
        <v>282.89999999999998</v>
      </c>
    </row>
    <row r="9" spans="1:13" x14ac:dyDescent="0.3">
      <c r="A9" t="s">
        <v>13</v>
      </c>
      <c r="B9">
        <v>2021</v>
      </c>
      <c r="C9" t="s">
        <v>69</v>
      </c>
      <c r="D9">
        <v>760.8</v>
      </c>
      <c r="E9">
        <v>20.27</v>
      </c>
      <c r="F9">
        <v>340</v>
      </c>
      <c r="G9">
        <v>152.1</v>
      </c>
      <c r="H9">
        <v>12.1</v>
      </c>
      <c r="I9">
        <v>190487</v>
      </c>
      <c r="J9">
        <v>92.6</v>
      </c>
      <c r="L9" s="11" t="s">
        <v>27</v>
      </c>
      <c r="M9">
        <v>282.89999999999998</v>
      </c>
    </row>
    <row r="10" spans="1:13" x14ac:dyDescent="0.3">
      <c r="A10" t="s">
        <v>13</v>
      </c>
      <c r="B10">
        <v>2021</v>
      </c>
      <c r="C10" t="s">
        <v>70</v>
      </c>
      <c r="D10">
        <v>644.4</v>
      </c>
      <c r="E10">
        <v>16.170000000000002</v>
      </c>
      <c r="F10">
        <v>280</v>
      </c>
      <c r="G10">
        <v>123</v>
      </c>
      <c r="H10">
        <v>12.7</v>
      </c>
      <c r="I10">
        <v>196411</v>
      </c>
      <c r="J10">
        <v>94.7</v>
      </c>
      <c r="L10" s="10" t="s">
        <v>72</v>
      </c>
      <c r="M10">
        <v>283.89999999999998</v>
      </c>
    </row>
    <row r="11" spans="1:13" x14ac:dyDescent="0.3">
      <c r="A11" t="s">
        <v>13</v>
      </c>
      <c r="B11">
        <v>2021</v>
      </c>
      <c r="C11" t="s">
        <v>71</v>
      </c>
      <c r="D11">
        <v>632.6</v>
      </c>
      <c r="E11">
        <v>15.14</v>
      </c>
      <c r="F11">
        <v>257</v>
      </c>
      <c r="G11">
        <v>118.4</v>
      </c>
      <c r="H11">
        <v>11.7</v>
      </c>
      <c r="I11">
        <v>188138</v>
      </c>
      <c r="J11">
        <v>91.4</v>
      </c>
      <c r="L11" s="11" t="s">
        <v>27</v>
      </c>
      <c r="M11">
        <v>283.89999999999998</v>
      </c>
    </row>
    <row r="12" spans="1:13" x14ac:dyDescent="0.3">
      <c r="A12" t="s">
        <v>13</v>
      </c>
      <c r="B12">
        <v>2021</v>
      </c>
      <c r="C12" t="s">
        <v>72</v>
      </c>
      <c r="D12">
        <v>626.79999999999995</v>
      </c>
      <c r="E12">
        <v>15.96</v>
      </c>
      <c r="F12">
        <v>262</v>
      </c>
      <c r="G12">
        <v>129.4</v>
      </c>
      <c r="H12">
        <v>13.1</v>
      </c>
      <c r="I12">
        <v>166956</v>
      </c>
      <c r="J12">
        <v>92.7</v>
      </c>
      <c r="L12" s="10" t="s">
        <v>73</v>
      </c>
      <c r="M12">
        <v>277</v>
      </c>
    </row>
    <row r="13" spans="1:13" x14ac:dyDescent="0.3">
      <c r="A13" t="s">
        <v>13</v>
      </c>
      <c r="B13">
        <v>2021</v>
      </c>
      <c r="C13" t="s">
        <v>73</v>
      </c>
      <c r="D13">
        <v>628.4</v>
      </c>
      <c r="E13">
        <v>15.48</v>
      </c>
      <c r="F13">
        <v>281</v>
      </c>
      <c r="G13">
        <v>119.3</v>
      </c>
      <c r="H13">
        <v>12.2</v>
      </c>
      <c r="I13">
        <v>184612</v>
      </c>
      <c r="J13">
        <v>91.1</v>
      </c>
      <c r="L13" s="11" t="s">
        <v>27</v>
      </c>
      <c r="M13">
        <v>277</v>
      </c>
    </row>
    <row r="14" spans="1:13" x14ac:dyDescent="0.3">
      <c r="A14" t="s">
        <v>15</v>
      </c>
      <c r="B14">
        <v>2021</v>
      </c>
      <c r="C14" t="s">
        <v>62</v>
      </c>
      <c r="D14">
        <v>392.9</v>
      </c>
      <c r="E14">
        <v>6.33</v>
      </c>
      <c r="F14">
        <v>149</v>
      </c>
      <c r="G14">
        <v>86.8</v>
      </c>
      <c r="H14">
        <v>8.3000000000000007</v>
      </c>
      <c r="I14">
        <v>87526</v>
      </c>
      <c r="J14">
        <v>91.1</v>
      </c>
      <c r="L14" s="10" t="s">
        <v>64</v>
      </c>
      <c r="M14">
        <v>295.60000000000002</v>
      </c>
    </row>
    <row r="15" spans="1:13" x14ac:dyDescent="0.3">
      <c r="A15" t="s">
        <v>15</v>
      </c>
      <c r="B15">
        <v>2021</v>
      </c>
      <c r="C15" t="s">
        <v>63</v>
      </c>
      <c r="D15">
        <v>390.7</v>
      </c>
      <c r="E15">
        <v>6.25</v>
      </c>
      <c r="F15">
        <v>154</v>
      </c>
      <c r="G15">
        <v>85.9</v>
      </c>
      <c r="H15">
        <v>9.3000000000000007</v>
      </c>
      <c r="I15">
        <v>83254</v>
      </c>
      <c r="J15">
        <v>90.1</v>
      </c>
      <c r="L15" s="11" t="s">
        <v>27</v>
      </c>
      <c r="M15">
        <v>295.60000000000002</v>
      </c>
    </row>
    <row r="16" spans="1:13" x14ac:dyDescent="0.3">
      <c r="A16" t="s">
        <v>15</v>
      </c>
      <c r="B16">
        <v>2021</v>
      </c>
      <c r="C16" t="s">
        <v>64</v>
      </c>
      <c r="D16">
        <v>458</v>
      </c>
      <c r="E16">
        <v>7.39</v>
      </c>
      <c r="F16">
        <v>181</v>
      </c>
      <c r="G16">
        <v>101.4</v>
      </c>
      <c r="H16">
        <v>8.6999999999999993</v>
      </c>
      <c r="I16">
        <v>97682</v>
      </c>
      <c r="J16">
        <v>91.6</v>
      </c>
      <c r="L16" s="10" t="s">
        <v>65</v>
      </c>
      <c r="M16">
        <v>280</v>
      </c>
    </row>
    <row r="17" spans="1:13" x14ac:dyDescent="0.3">
      <c r="A17" t="s">
        <v>15</v>
      </c>
      <c r="B17">
        <v>2021</v>
      </c>
      <c r="C17" t="s">
        <v>65</v>
      </c>
      <c r="D17">
        <v>481.6</v>
      </c>
      <c r="E17">
        <v>7.36</v>
      </c>
      <c r="F17">
        <v>175</v>
      </c>
      <c r="G17">
        <v>92.8</v>
      </c>
      <c r="H17">
        <v>8.5</v>
      </c>
      <c r="I17">
        <v>85875</v>
      </c>
      <c r="J17">
        <v>90.3</v>
      </c>
      <c r="L17" s="11" t="s">
        <v>27</v>
      </c>
      <c r="M17">
        <v>280</v>
      </c>
    </row>
    <row r="18" spans="1:13" x14ac:dyDescent="0.3">
      <c r="A18" t="s">
        <v>15</v>
      </c>
      <c r="B18">
        <v>2021</v>
      </c>
      <c r="C18" t="s">
        <v>66</v>
      </c>
      <c r="D18">
        <v>441</v>
      </c>
      <c r="E18">
        <v>7.55</v>
      </c>
      <c r="F18">
        <v>176</v>
      </c>
      <c r="G18">
        <v>92.2</v>
      </c>
      <c r="H18">
        <v>8.4</v>
      </c>
      <c r="I18">
        <v>84885</v>
      </c>
      <c r="J18">
        <v>91</v>
      </c>
      <c r="L18" s="10" t="s">
        <v>69</v>
      </c>
      <c r="M18">
        <v>379.9</v>
      </c>
    </row>
    <row r="19" spans="1:13" x14ac:dyDescent="0.3">
      <c r="A19" t="s">
        <v>15</v>
      </c>
      <c r="B19">
        <v>2021</v>
      </c>
      <c r="C19" t="s">
        <v>67</v>
      </c>
      <c r="D19">
        <v>574.4</v>
      </c>
      <c r="E19">
        <v>8.9499999999999993</v>
      </c>
      <c r="F19">
        <v>235</v>
      </c>
      <c r="G19">
        <v>125.5</v>
      </c>
      <c r="H19">
        <v>9.4</v>
      </c>
      <c r="I19">
        <v>95114</v>
      </c>
      <c r="J19">
        <v>90.6</v>
      </c>
      <c r="L19" s="11" t="s">
        <v>27</v>
      </c>
      <c r="M19">
        <v>379.9</v>
      </c>
    </row>
    <row r="20" spans="1:13" x14ac:dyDescent="0.3">
      <c r="A20" t="s">
        <v>15</v>
      </c>
      <c r="B20">
        <v>2021</v>
      </c>
      <c r="C20" t="s">
        <v>68</v>
      </c>
      <c r="D20">
        <v>552.70000000000005</v>
      </c>
      <c r="E20">
        <v>9.27</v>
      </c>
      <c r="F20">
        <v>217</v>
      </c>
      <c r="G20">
        <v>114.4</v>
      </c>
      <c r="H20">
        <v>10.3</v>
      </c>
      <c r="I20">
        <v>99239</v>
      </c>
      <c r="J20">
        <v>89.3</v>
      </c>
      <c r="L20" s="10" t="s">
        <v>63</v>
      </c>
      <c r="M20">
        <v>246.7</v>
      </c>
    </row>
    <row r="21" spans="1:13" x14ac:dyDescent="0.3">
      <c r="A21" t="s">
        <v>15</v>
      </c>
      <c r="B21">
        <v>2021</v>
      </c>
      <c r="C21" t="s">
        <v>69</v>
      </c>
      <c r="D21">
        <v>550.6</v>
      </c>
      <c r="E21">
        <v>9.2200000000000006</v>
      </c>
      <c r="F21">
        <v>216</v>
      </c>
      <c r="G21">
        <v>128.1</v>
      </c>
      <c r="H21">
        <v>8.3000000000000007</v>
      </c>
      <c r="I21">
        <v>85397</v>
      </c>
      <c r="J21">
        <v>89</v>
      </c>
      <c r="L21" s="11" t="s">
        <v>27</v>
      </c>
      <c r="M21">
        <v>246.7</v>
      </c>
    </row>
    <row r="22" spans="1:13" x14ac:dyDescent="0.3">
      <c r="A22" t="s">
        <v>15</v>
      </c>
      <c r="B22">
        <v>2021</v>
      </c>
      <c r="C22" t="s">
        <v>70</v>
      </c>
      <c r="D22">
        <v>438.1</v>
      </c>
      <c r="E22">
        <v>7.56</v>
      </c>
      <c r="F22">
        <v>186</v>
      </c>
      <c r="G22">
        <v>93.4</v>
      </c>
      <c r="H22">
        <v>9</v>
      </c>
      <c r="I22">
        <v>81882</v>
      </c>
      <c r="J22">
        <v>87.3</v>
      </c>
      <c r="L22" s="10" t="s">
        <v>62</v>
      </c>
      <c r="M22">
        <v>245.1</v>
      </c>
    </row>
    <row r="23" spans="1:13" x14ac:dyDescent="0.3">
      <c r="A23" t="s">
        <v>15</v>
      </c>
      <c r="B23">
        <v>2021</v>
      </c>
      <c r="C23" t="s">
        <v>71</v>
      </c>
      <c r="D23">
        <v>446.8</v>
      </c>
      <c r="E23">
        <v>7.78</v>
      </c>
      <c r="F23">
        <v>181</v>
      </c>
      <c r="G23">
        <v>91.8</v>
      </c>
      <c r="H23">
        <v>8.1</v>
      </c>
      <c r="I23">
        <v>94155</v>
      </c>
      <c r="J23">
        <v>86.4</v>
      </c>
      <c r="L23" s="11" t="s">
        <v>27</v>
      </c>
      <c r="M23">
        <v>245.1</v>
      </c>
    </row>
    <row r="24" spans="1:13" x14ac:dyDescent="0.3">
      <c r="A24" t="s">
        <v>15</v>
      </c>
      <c r="B24">
        <v>2021</v>
      </c>
      <c r="C24" t="s">
        <v>72</v>
      </c>
      <c r="D24">
        <v>457</v>
      </c>
      <c r="E24">
        <v>7.64</v>
      </c>
      <c r="F24">
        <v>185</v>
      </c>
      <c r="G24">
        <v>96.9</v>
      </c>
      <c r="H24">
        <v>8.6999999999999993</v>
      </c>
      <c r="I24">
        <v>88045</v>
      </c>
      <c r="J24">
        <v>88.9</v>
      </c>
      <c r="L24" s="10" t="s">
        <v>68</v>
      </c>
      <c r="M24">
        <v>352.7</v>
      </c>
    </row>
    <row r="25" spans="1:13" x14ac:dyDescent="0.3">
      <c r="A25" t="s">
        <v>15</v>
      </c>
      <c r="B25">
        <v>2021</v>
      </c>
      <c r="C25" t="s">
        <v>73</v>
      </c>
      <c r="D25">
        <v>451.4</v>
      </c>
      <c r="E25">
        <v>7.59</v>
      </c>
      <c r="F25">
        <v>187</v>
      </c>
      <c r="G25">
        <v>98.5</v>
      </c>
      <c r="H25">
        <v>9.6999999999999993</v>
      </c>
      <c r="I25">
        <v>84066</v>
      </c>
      <c r="J25">
        <v>91</v>
      </c>
      <c r="L25" s="11" t="s">
        <v>27</v>
      </c>
      <c r="M25">
        <v>352.7</v>
      </c>
    </row>
    <row r="26" spans="1:13" x14ac:dyDescent="0.3">
      <c r="A26" t="s">
        <v>17</v>
      </c>
      <c r="B26">
        <v>2021</v>
      </c>
      <c r="C26" t="s">
        <v>62</v>
      </c>
      <c r="D26">
        <v>204.4</v>
      </c>
      <c r="E26">
        <v>4.21</v>
      </c>
      <c r="F26">
        <v>98</v>
      </c>
      <c r="G26">
        <v>45</v>
      </c>
      <c r="H26">
        <v>6.3</v>
      </c>
      <c r="I26">
        <v>71785</v>
      </c>
      <c r="J26">
        <v>90.5</v>
      </c>
      <c r="L26" s="10" t="s">
        <v>67</v>
      </c>
      <c r="M26">
        <v>358.9</v>
      </c>
    </row>
    <row r="27" spans="1:13" x14ac:dyDescent="0.3">
      <c r="A27" t="s">
        <v>17</v>
      </c>
      <c r="B27">
        <v>2021</v>
      </c>
      <c r="C27" t="s">
        <v>63</v>
      </c>
      <c r="D27">
        <v>201.1</v>
      </c>
      <c r="E27">
        <v>4.4800000000000004</v>
      </c>
      <c r="F27">
        <v>99</v>
      </c>
      <c r="G27">
        <v>49.2</v>
      </c>
      <c r="H27">
        <v>6.1</v>
      </c>
      <c r="I27">
        <v>70835</v>
      </c>
      <c r="J27">
        <v>92.4</v>
      </c>
      <c r="L27" s="11" t="s">
        <v>27</v>
      </c>
      <c r="M27">
        <v>358.9</v>
      </c>
    </row>
    <row r="28" spans="1:13" x14ac:dyDescent="0.3">
      <c r="A28" t="s">
        <v>17</v>
      </c>
      <c r="B28">
        <v>2021</v>
      </c>
      <c r="C28" t="s">
        <v>64</v>
      </c>
      <c r="D28">
        <v>223.1</v>
      </c>
      <c r="E28">
        <v>5.15</v>
      </c>
      <c r="F28">
        <v>122</v>
      </c>
      <c r="G28">
        <v>58.1</v>
      </c>
      <c r="H28">
        <v>6</v>
      </c>
      <c r="I28">
        <v>59855</v>
      </c>
      <c r="J28">
        <v>93.3</v>
      </c>
      <c r="L28" s="10" t="s">
        <v>66</v>
      </c>
      <c r="M28">
        <v>286.10000000000002</v>
      </c>
    </row>
    <row r="29" spans="1:13" x14ac:dyDescent="0.3">
      <c r="A29" t="s">
        <v>17</v>
      </c>
      <c r="B29">
        <v>2021</v>
      </c>
      <c r="C29" t="s">
        <v>65</v>
      </c>
      <c r="D29">
        <v>222.7</v>
      </c>
      <c r="E29">
        <v>5.12</v>
      </c>
      <c r="F29">
        <v>125</v>
      </c>
      <c r="G29">
        <v>52.7</v>
      </c>
      <c r="H29">
        <v>6</v>
      </c>
      <c r="I29">
        <v>72048</v>
      </c>
      <c r="J29">
        <v>89.8</v>
      </c>
      <c r="L29" s="11" t="s">
        <v>27</v>
      </c>
      <c r="M29">
        <v>286.10000000000002</v>
      </c>
    </row>
    <row r="30" spans="1:13" x14ac:dyDescent="0.3">
      <c r="A30" t="s">
        <v>17</v>
      </c>
      <c r="B30">
        <v>2021</v>
      </c>
      <c r="C30" t="s">
        <v>66</v>
      </c>
      <c r="D30">
        <v>222.1</v>
      </c>
      <c r="E30">
        <v>5.18</v>
      </c>
      <c r="F30">
        <v>125</v>
      </c>
      <c r="G30">
        <v>54.1</v>
      </c>
      <c r="H30">
        <v>6.4</v>
      </c>
      <c r="I30">
        <v>59025</v>
      </c>
      <c r="J30">
        <v>92.9</v>
      </c>
      <c r="L30" s="10" t="s">
        <v>70</v>
      </c>
      <c r="M30">
        <v>288.8</v>
      </c>
    </row>
    <row r="31" spans="1:13" x14ac:dyDescent="0.3">
      <c r="A31" t="s">
        <v>17</v>
      </c>
      <c r="B31">
        <v>2021</v>
      </c>
      <c r="C31" t="s">
        <v>67</v>
      </c>
      <c r="D31">
        <v>299.7</v>
      </c>
      <c r="E31">
        <v>6.3</v>
      </c>
      <c r="F31">
        <v>142</v>
      </c>
      <c r="G31">
        <v>70.7</v>
      </c>
      <c r="H31">
        <v>6.8</v>
      </c>
      <c r="I31">
        <v>62897</v>
      </c>
      <c r="J31">
        <v>94</v>
      </c>
      <c r="L31" s="11" t="s">
        <v>27</v>
      </c>
      <c r="M31">
        <v>288.8</v>
      </c>
    </row>
    <row r="32" spans="1:13" x14ac:dyDescent="0.3">
      <c r="A32" t="s">
        <v>17</v>
      </c>
      <c r="B32">
        <v>2021</v>
      </c>
      <c r="C32" t="s">
        <v>68</v>
      </c>
      <c r="D32">
        <v>300.7</v>
      </c>
      <c r="E32">
        <v>6.73</v>
      </c>
      <c r="F32">
        <v>145</v>
      </c>
      <c r="G32">
        <v>66.7</v>
      </c>
      <c r="H32">
        <v>5.7</v>
      </c>
      <c r="I32">
        <v>72955</v>
      </c>
      <c r="J32">
        <v>90.7</v>
      </c>
      <c r="L32" s="10" t="s">
        <v>134</v>
      </c>
      <c r="M32">
        <v>3577.6000000000004</v>
      </c>
    </row>
    <row r="33" spans="1:10" x14ac:dyDescent="0.3">
      <c r="A33" t="s">
        <v>17</v>
      </c>
      <c r="B33">
        <v>2021</v>
      </c>
      <c r="C33" t="s">
        <v>69</v>
      </c>
      <c r="D33">
        <v>290.8</v>
      </c>
      <c r="E33">
        <v>6.75</v>
      </c>
      <c r="F33">
        <v>147</v>
      </c>
      <c r="G33">
        <v>71.2</v>
      </c>
      <c r="H33">
        <v>5.4</v>
      </c>
      <c r="I33">
        <v>65841</v>
      </c>
      <c r="J33">
        <v>94</v>
      </c>
    </row>
    <row r="34" spans="1:10" x14ac:dyDescent="0.3">
      <c r="A34" t="s">
        <v>17</v>
      </c>
      <c r="B34">
        <v>2021</v>
      </c>
      <c r="C34" t="s">
        <v>70</v>
      </c>
      <c r="D34">
        <v>233.9</v>
      </c>
      <c r="E34">
        <v>5.31</v>
      </c>
      <c r="F34">
        <v>115</v>
      </c>
      <c r="G34">
        <v>52.6</v>
      </c>
      <c r="H34">
        <v>6.8</v>
      </c>
      <c r="I34">
        <v>68599</v>
      </c>
      <c r="J34">
        <v>90</v>
      </c>
    </row>
    <row r="35" spans="1:10" x14ac:dyDescent="0.3">
      <c r="A35" t="s">
        <v>17</v>
      </c>
      <c r="B35">
        <v>2021</v>
      </c>
      <c r="C35" t="s">
        <v>71</v>
      </c>
      <c r="D35">
        <v>224.5</v>
      </c>
      <c r="E35">
        <v>5.07</v>
      </c>
      <c r="F35">
        <v>117</v>
      </c>
      <c r="G35">
        <v>53.8</v>
      </c>
      <c r="H35">
        <v>5.6</v>
      </c>
      <c r="I35">
        <v>66274</v>
      </c>
      <c r="J35">
        <v>91.9</v>
      </c>
    </row>
    <row r="36" spans="1:10" x14ac:dyDescent="0.3">
      <c r="A36" t="s">
        <v>17</v>
      </c>
      <c r="B36">
        <v>2021</v>
      </c>
      <c r="C36" t="s">
        <v>72</v>
      </c>
      <c r="D36">
        <v>221.8</v>
      </c>
      <c r="E36">
        <v>5.31</v>
      </c>
      <c r="F36">
        <v>122</v>
      </c>
      <c r="G36">
        <v>56.1</v>
      </c>
      <c r="H36">
        <v>5.6</v>
      </c>
      <c r="I36">
        <v>60027</v>
      </c>
      <c r="J36">
        <v>90.8</v>
      </c>
    </row>
    <row r="37" spans="1:10" x14ac:dyDescent="0.3">
      <c r="A37" t="s">
        <v>17</v>
      </c>
      <c r="B37">
        <v>2021</v>
      </c>
      <c r="C37" t="s">
        <v>73</v>
      </c>
      <c r="D37">
        <v>226.7</v>
      </c>
      <c r="E37">
        <v>5.0599999999999996</v>
      </c>
      <c r="F37">
        <v>124</v>
      </c>
      <c r="G37">
        <v>55.7</v>
      </c>
      <c r="H37">
        <v>6.5</v>
      </c>
      <c r="I37">
        <v>64907</v>
      </c>
      <c r="J37">
        <v>93</v>
      </c>
    </row>
    <row r="38" spans="1:10" x14ac:dyDescent="0.3">
      <c r="A38" t="s">
        <v>19</v>
      </c>
      <c r="B38">
        <v>2021</v>
      </c>
      <c r="C38" t="s">
        <v>62</v>
      </c>
      <c r="D38">
        <v>151.4</v>
      </c>
      <c r="E38">
        <v>1.47</v>
      </c>
      <c r="F38">
        <v>67</v>
      </c>
      <c r="G38">
        <v>38.5</v>
      </c>
      <c r="H38">
        <v>4.5999999999999996</v>
      </c>
      <c r="I38">
        <v>23791</v>
      </c>
      <c r="J38">
        <v>86.6</v>
      </c>
    </row>
    <row r="39" spans="1:10" x14ac:dyDescent="0.3">
      <c r="A39" t="s">
        <v>19</v>
      </c>
      <c r="B39">
        <v>2021</v>
      </c>
      <c r="C39" t="s">
        <v>63</v>
      </c>
      <c r="D39">
        <v>148.1</v>
      </c>
      <c r="E39">
        <v>1.48</v>
      </c>
      <c r="F39">
        <v>65</v>
      </c>
      <c r="G39">
        <v>38.5</v>
      </c>
      <c r="H39">
        <v>4.0999999999999996</v>
      </c>
      <c r="I39">
        <v>28451</v>
      </c>
      <c r="J39">
        <v>85.2</v>
      </c>
    </row>
    <row r="40" spans="1:10" x14ac:dyDescent="0.3">
      <c r="A40" t="s">
        <v>19</v>
      </c>
      <c r="B40">
        <v>2021</v>
      </c>
      <c r="C40" t="s">
        <v>64</v>
      </c>
      <c r="D40">
        <v>185.7</v>
      </c>
      <c r="E40">
        <v>1.71</v>
      </c>
      <c r="F40">
        <v>79</v>
      </c>
      <c r="G40">
        <v>43.8</v>
      </c>
      <c r="H40">
        <v>4.4000000000000004</v>
      </c>
      <c r="I40">
        <v>24763</v>
      </c>
      <c r="J40">
        <v>88.1</v>
      </c>
    </row>
    <row r="41" spans="1:10" x14ac:dyDescent="0.3">
      <c r="A41" t="s">
        <v>19</v>
      </c>
      <c r="B41">
        <v>2021</v>
      </c>
      <c r="C41" t="s">
        <v>65</v>
      </c>
      <c r="D41">
        <v>173.2</v>
      </c>
      <c r="E41">
        <v>1.75</v>
      </c>
      <c r="F41">
        <v>83</v>
      </c>
      <c r="G41">
        <v>41.8</v>
      </c>
      <c r="H41">
        <v>4.3</v>
      </c>
      <c r="I41">
        <v>25587</v>
      </c>
      <c r="J41">
        <v>87.2</v>
      </c>
    </row>
    <row r="42" spans="1:10" x14ac:dyDescent="0.3">
      <c r="A42" t="s">
        <v>19</v>
      </c>
      <c r="B42">
        <v>2021</v>
      </c>
      <c r="C42" t="s">
        <v>66</v>
      </c>
      <c r="D42">
        <v>183.2</v>
      </c>
      <c r="E42">
        <v>1.71</v>
      </c>
      <c r="F42">
        <v>81</v>
      </c>
      <c r="G42">
        <v>41.8</v>
      </c>
      <c r="H42">
        <v>4.2</v>
      </c>
      <c r="I42">
        <v>24948</v>
      </c>
      <c r="J42">
        <v>84.3</v>
      </c>
    </row>
    <row r="43" spans="1:10" x14ac:dyDescent="0.3">
      <c r="A43" t="s">
        <v>19</v>
      </c>
      <c r="B43">
        <v>2021</v>
      </c>
      <c r="C43" t="s">
        <v>67</v>
      </c>
      <c r="D43">
        <v>215.4</v>
      </c>
      <c r="E43">
        <v>2.36</v>
      </c>
      <c r="F43">
        <v>103</v>
      </c>
      <c r="G43">
        <v>50.8</v>
      </c>
      <c r="H43">
        <v>3.8</v>
      </c>
      <c r="I43">
        <v>24405</v>
      </c>
      <c r="J43">
        <v>85.1</v>
      </c>
    </row>
    <row r="44" spans="1:10" x14ac:dyDescent="0.3">
      <c r="A44" t="s">
        <v>19</v>
      </c>
      <c r="B44">
        <v>2021</v>
      </c>
      <c r="C44" t="s">
        <v>68</v>
      </c>
      <c r="D44">
        <v>222.6</v>
      </c>
      <c r="E44">
        <v>2.14</v>
      </c>
      <c r="F44">
        <v>97</v>
      </c>
      <c r="G44">
        <v>55.2</v>
      </c>
      <c r="H44">
        <v>3.7</v>
      </c>
      <c r="I44">
        <v>27026</v>
      </c>
      <c r="J44">
        <v>87.4</v>
      </c>
    </row>
    <row r="45" spans="1:10" x14ac:dyDescent="0.3">
      <c r="A45" t="s">
        <v>19</v>
      </c>
      <c r="B45">
        <v>2021</v>
      </c>
      <c r="C45" t="s">
        <v>69</v>
      </c>
      <c r="D45">
        <v>229.8</v>
      </c>
      <c r="E45">
        <v>2.1800000000000002</v>
      </c>
      <c r="F45">
        <v>99</v>
      </c>
      <c r="G45">
        <v>55.9</v>
      </c>
      <c r="H45">
        <v>4</v>
      </c>
      <c r="I45">
        <v>25899</v>
      </c>
      <c r="J45">
        <v>88.5</v>
      </c>
    </row>
    <row r="46" spans="1:10" x14ac:dyDescent="0.3">
      <c r="A46" t="s">
        <v>19</v>
      </c>
      <c r="B46">
        <v>2021</v>
      </c>
      <c r="C46" t="s">
        <v>70</v>
      </c>
      <c r="D46">
        <v>173.1</v>
      </c>
      <c r="E46">
        <v>1.76</v>
      </c>
      <c r="F46">
        <v>82</v>
      </c>
      <c r="G46">
        <v>43.7</v>
      </c>
      <c r="H46">
        <v>3.7</v>
      </c>
      <c r="I46">
        <v>28288</v>
      </c>
      <c r="J46">
        <v>87.4</v>
      </c>
    </row>
    <row r="47" spans="1:10" x14ac:dyDescent="0.3">
      <c r="A47" t="s">
        <v>19</v>
      </c>
      <c r="B47">
        <v>2021</v>
      </c>
      <c r="C47" t="s">
        <v>71</v>
      </c>
      <c r="D47">
        <v>180.2</v>
      </c>
      <c r="E47">
        <v>1.81</v>
      </c>
      <c r="F47">
        <v>77</v>
      </c>
      <c r="G47">
        <v>40.9</v>
      </c>
      <c r="H47">
        <v>3.8</v>
      </c>
      <c r="I47">
        <v>24668</v>
      </c>
      <c r="J47">
        <v>84.9</v>
      </c>
    </row>
    <row r="48" spans="1:10" x14ac:dyDescent="0.3">
      <c r="A48" t="s">
        <v>19</v>
      </c>
      <c r="B48">
        <v>2021</v>
      </c>
      <c r="C48" t="s">
        <v>72</v>
      </c>
      <c r="D48">
        <v>171.9</v>
      </c>
      <c r="E48">
        <v>1.79</v>
      </c>
      <c r="F48">
        <v>80</v>
      </c>
      <c r="G48">
        <v>42.9</v>
      </c>
      <c r="H48">
        <v>4.4000000000000004</v>
      </c>
      <c r="I48">
        <v>27466</v>
      </c>
      <c r="J48">
        <v>85.3</v>
      </c>
    </row>
    <row r="49" spans="1:10" x14ac:dyDescent="0.3">
      <c r="A49" t="s">
        <v>19</v>
      </c>
      <c r="B49">
        <v>2021</v>
      </c>
      <c r="C49" t="s">
        <v>73</v>
      </c>
      <c r="D49">
        <v>184.4</v>
      </c>
      <c r="E49">
        <v>1.87</v>
      </c>
      <c r="F49">
        <v>77</v>
      </c>
      <c r="G49">
        <v>43.5</v>
      </c>
      <c r="H49">
        <v>4.0999999999999996</v>
      </c>
      <c r="I49">
        <v>26561</v>
      </c>
      <c r="J49">
        <v>86.3</v>
      </c>
    </row>
    <row r="50" spans="1:10" x14ac:dyDescent="0.3">
      <c r="A50" t="s">
        <v>21</v>
      </c>
      <c r="B50">
        <v>2021</v>
      </c>
      <c r="C50" t="s">
        <v>62</v>
      </c>
      <c r="D50">
        <v>212.7</v>
      </c>
      <c r="E50">
        <v>2.3199999999999998</v>
      </c>
      <c r="F50">
        <v>77</v>
      </c>
      <c r="G50">
        <v>41.6</v>
      </c>
      <c r="H50">
        <v>5.3</v>
      </c>
      <c r="I50">
        <v>34702</v>
      </c>
      <c r="J50">
        <v>87.5</v>
      </c>
    </row>
    <row r="51" spans="1:10" x14ac:dyDescent="0.3">
      <c r="A51" t="s">
        <v>21</v>
      </c>
      <c r="B51">
        <v>2021</v>
      </c>
      <c r="C51" t="s">
        <v>63</v>
      </c>
      <c r="D51">
        <v>213.7</v>
      </c>
      <c r="E51">
        <v>2.33</v>
      </c>
      <c r="F51">
        <v>78</v>
      </c>
      <c r="G51">
        <v>40.5</v>
      </c>
      <c r="H51">
        <v>4.7</v>
      </c>
      <c r="I51">
        <v>32193</v>
      </c>
      <c r="J51">
        <v>87.8</v>
      </c>
    </row>
    <row r="52" spans="1:10" x14ac:dyDescent="0.3">
      <c r="A52" t="s">
        <v>21</v>
      </c>
      <c r="B52">
        <v>2021</v>
      </c>
      <c r="C52" t="s">
        <v>64</v>
      </c>
      <c r="D52">
        <v>261.10000000000002</v>
      </c>
      <c r="E52">
        <v>2.92</v>
      </c>
      <c r="F52">
        <v>95</v>
      </c>
      <c r="G52">
        <v>46</v>
      </c>
      <c r="H52">
        <v>4.5</v>
      </c>
      <c r="I52">
        <v>31519</v>
      </c>
      <c r="J52">
        <v>91.2</v>
      </c>
    </row>
    <row r="53" spans="1:10" x14ac:dyDescent="0.3">
      <c r="A53" t="s">
        <v>21</v>
      </c>
      <c r="B53">
        <v>2021</v>
      </c>
      <c r="C53" t="s">
        <v>65</v>
      </c>
      <c r="D53">
        <v>262.8</v>
      </c>
      <c r="E53">
        <v>2.81</v>
      </c>
      <c r="F53">
        <v>99</v>
      </c>
      <c r="G53">
        <v>48.1</v>
      </c>
      <c r="H53">
        <v>4.5</v>
      </c>
      <c r="I53">
        <v>36718</v>
      </c>
      <c r="J53">
        <v>92</v>
      </c>
    </row>
    <row r="54" spans="1:10" x14ac:dyDescent="0.3">
      <c r="A54" t="s">
        <v>21</v>
      </c>
      <c r="B54">
        <v>2021</v>
      </c>
      <c r="C54" t="s">
        <v>66</v>
      </c>
      <c r="D54">
        <v>251.5</v>
      </c>
      <c r="E54">
        <v>2.73</v>
      </c>
      <c r="F54">
        <v>93</v>
      </c>
      <c r="G54">
        <v>50.8</v>
      </c>
      <c r="H54">
        <v>5.6</v>
      </c>
      <c r="I54">
        <v>34689</v>
      </c>
      <c r="J54">
        <v>91.7</v>
      </c>
    </row>
    <row r="55" spans="1:10" x14ac:dyDescent="0.3">
      <c r="A55" t="s">
        <v>21</v>
      </c>
      <c r="B55">
        <v>2021</v>
      </c>
      <c r="C55" t="s">
        <v>67</v>
      </c>
      <c r="D55">
        <v>312.39999999999998</v>
      </c>
      <c r="E55">
        <v>3.62</v>
      </c>
      <c r="F55">
        <v>122</v>
      </c>
      <c r="G55">
        <v>57.2</v>
      </c>
      <c r="H55">
        <v>4.9000000000000004</v>
      </c>
      <c r="I55">
        <v>39208</v>
      </c>
      <c r="J55">
        <v>88.5</v>
      </c>
    </row>
    <row r="56" spans="1:10" x14ac:dyDescent="0.3">
      <c r="A56" t="s">
        <v>21</v>
      </c>
      <c r="B56">
        <v>2021</v>
      </c>
      <c r="C56" t="s">
        <v>68</v>
      </c>
      <c r="D56">
        <v>317.7</v>
      </c>
      <c r="E56">
        <v>3.67</v>
      </c>
      <c r="F56">
        <v>120</v>
      </c>
      <c r="G56">
        <v>61.2</v>
      </c>
      <c r="H56">
        <v>4.7</v>
      </c>
      <c r="I56">
        <v>38078</v>
      </c>
      <c r="J56">
        <v>88.7</v>
      </c>
    </row>
    <row r="57" spans="1:10" x14ac:dyDescent="0.3">
      <c r="A57" t="s">
        <v>21</v>
      </c>
      <c r="B57">
        <v>2021</v>
      </c>
      <c r="C57" t="s">
        <v>69</v>
      </c>
      <c r="D57">
        <v>315.3</v>
      </c>
      <c r="E57">
        <v>3.56</v>
      </c>
      <c r="F57">
        <v>118</v>
      </c>
      <c r="G57">
        <v>61.5</v>
      </c>
      <c r="H57">
        <v>4.8</v>
      </c>
      <c r="I57">
        <v>34746</v>
      </c>
      <c r="J57">
        <v>90</v>
      </c>
    </row>
    <row r="58" spans="1:10" x14ac:dyDescent="0.3">
      <c r="A58" t="s">
        <v>21</v>
      </c>
      <c r="B58">
        <v>2021</v>
      </c>
      <c r="C58" t="s">
        <v>70</v>
      </c>
      <c r="D58">
        <v>270.39999999999998</v>
      </c>
      <c r="E58">
        <v>2.87</v>
      </c>
      <c r="F58">
        <v>94</v>
      </c>
      <c r="G58">
        <v>50.8</v>
      </c>
      <c r="H58">
        <v>5</v>
      </c>
      <c r="I58">
        <v>34237</v>
      </c>
      <c r="J58">
        <v>89.2</v>
      </c>
    </row>
    <row r="59" spans="1:10" x14ac:dyDescent="0.3">
      <c r="A59" t="s">
        <v>21</v>
      </c>
      <c r="B59">
        <v>2021</v>
      </c>
      <c r="C59" t="s">
        <v>71</v>
      </c>
      <c r="D59">
        <v>263</v>
      </c>
      <c r="E59">
        <v>2.82</v>
      </c>
      <c r="F59">
        <v>95</v>
      </c>
      <c r="G59">
        <v>46.9</v>
      </c>
      <c r="H59">
        <v>4.5999999999999996</v>
      </c>
      <c r="I59">
        <v>32778</v>
      </c>
      <c r="J59">
        <v>92.5</v>
      </c>
    </row>
    <row r="60" spans="1:10" x14ac:dyDescent="0.3">
      <c r="A60" t="s">
        <v>21</v>
      </c>
      <c r="B60">
        <v>2021</v>
      </c>
      <c r="C60" t="s">
        <v>72</v>
      </c>
      <c r="D60">
        <v>266.5</v>
      </c>
      <c r="E60">
        <v>2.7</v>
      </c>
      <c r="F60">
        <v>94</v>
      </c>
      <c r="G60">
        <v>45.8</v>
      </c>
      <c r="H60">
        <v>4.8</v>
      </c>
      <c r="I60">
        <v>37440</v>
      </c>
      <c r="J60">
        <v>92.6</v>
      </c>
    </row>
    <row r="61" spans="1:10" x14ac:dyDescent="0.3">
      <c r="A61" t="s">
        <v>21</v>
      </c>
      <c r="B61">
        <v>2021</v>
      </c>
      <c r="C61" t="s">
        <v>73</v>
      </c>
      <c r="D61">
        <v>256.60000000000002</v>
      </c>
      <c r="E61">
        <v>2.8</v>
      </c>
      <c r="F61">
        <v>92</v>
      </c>
      <c r="G61">
        <v>50.8</v>
      </c>
      <c r="H61">
        <v>5.7</v>
      </c>
      <c r="I61">
        <v>38334</v>
      </c>
      <c r="J61">
        <v>91.5</v>
      </c>
    </row>
    <row r="62" spans="1:10" x14ac:dyDescent="0.3">
      <c r="A62" t="s">
        <v>23</v>
      </c>
      <c r="B62">
        <v>2021</v>
      </c>
      <c r="C62" t="s">
        <v>62</v>
      </c>
      <c r="D62">
        <v>201.7</v>
      </c>
      <c r="E62">
        <v>2.12</v>
      </c>
      <c r="F62">
        <v>75</v>
      </c>
      <c r="G62">
        <v>38.200000000000003</v>
      </c>
      <c r="H62">
        <v>4.8</v>
      </c>
      <c r="I62">
        <v>29339</v>
      </c>
      <c r="J62">
        <v>88.7</v>
      </c>
    </row>
    <row r="63" spans="1:10" x14ac:dyDescent="0.3">
      <c r="A63" t="s">
        <v>23</v>
      </c>
      <c r="B63">
        <v>2021</v>
      </c>
      <c r="C63" t="s">
        <v>63</v>
      </c>
      <c r="D63">
        <v>193.2</v>
      </c>
      <c r="E63">
        <v>2.02</v>
      </c>
      <c r="F63">
        <v>72</v>
      </c>
      <c r="G63">
        <v>39.799999999999997</v>
      </c>
      <c r="H63">
        <v>4.5999999999999996</v>
      </c>
      <c r="I63">
        <v>29875</v>
      </c>
      <c r="J63">
        <v>85.6</v>
      </c>
    </row>
    <row r="64" spans="1:10" x14ac:dyDescent="0.3">
      <c r="A64" t="s">
        <v>23</v>
      </c>
      <c r="B64">
        <v>2021</v>
      </c>
      <c r="C64" t="s">
        <v>64</v>
      </c>
      <c r="D64">
        <v>237.5</v>
      </c>
      <c r="E64">
        <v>2.39</v>
      </c>
      <c r="F64">
        <v>83</v>
      </c>
      <c r="G64">
        <v>47.9</v>
      </c>
      <c r="H64">
        <v>4.7</v>
      </c>
      <c r="I64">
        <v>33832</v>
      </c>
      <c r="J64">
        <v>89.9</v>
      </c>
    </row>
    <row r="65" spans="1:10" x14ac:dyDescent="0.3">
      <c r="A65" t="s">
        <v>23</v>
      </c>
      <c r="B65">
        <v>2021</v>
      </c>
      <c r="C65" t="s">
        <v>65</v>
      </c>
      <c r="D65">
        <v>228.6</v>
      </c>
      <c r="E65">
        <v>2.59</v>
      </c>
      <c r="F65">
        <v>88</v>
      </c>
      <c r="G65">
        <v>44.8</v>
      </c>
      <c r="H65">
        <v>4.2</v>
      </c>
      <c r="I65">
        <v>30488</v>
      </c>
      <c r="J65">
        <v>90</v>
      </c>
    </row>
    <row r="66" spans="1:10" x14ac:dyDescent="0.3">
      <c r="A66" t="s">
        <v>23</v>
      </c>
      <c r="B66">
        <v>2021</v>
      </c>
      <c r="C66" t="s">
        <v>66</v>
      </c>
      <c r="D66">
        <v>236.3</v>
      </c>
      <c r="E66">
        <v>2.6</v>
      </c>
      <c r="F66">
        <v>84</v>
      </c>
      <c r="G66">
        <v>45.2</v>
      </c>
      <c r="H66">
        <v>4.5999999999999996</v>
      </c>
      <c r="I66">
        <v>30571</v>
      </c>
      <c r="J66">
        <v>89.4</v>
      </c>
    </row>
    <row r="67" spans="1:10" x14ac:dyDescent="0.3">
      <c r="A67" t="s">
        <v>23</v>
      </c>
      <c r="B67">
        <v>2021</v>
      </c>
      <c r="C67" t="s">
        <v>67</v>
      </c>
      <c r="D67">
        <v>280.7</v>
      </c>
      <c r="E67">
        <v>3.26</v>
      </c>
      <c r="F67">
        <v>106</v>
      </c>
      <c r="G67">
        <v>62.1</v>
      </c>
      <c r="H67">
        <v>4.2</v>
      </c>
      <c r="I67">
        <v>33613</v>
      </c>
      <c r="J67">
        <v>90.6</v>
      </c>
    </row>
    <row r="68" spans="1:10" x14ac:dyDescent="0.3">
      <c r="A68" t="s">
        <v>23</v>
      </c>
      <c r="B68">
        <v>2021</v>
      </c>
      <c r="C68" t="s">
        <v>68</v>
      </c>
      <c r="D68">
        <v>281.3</v>
      </c>
      <c r="E68">
        <v>3.06</v>
      </c>
      <c r="F68">
        <v>111</v>
      </c>
      <c r="G68">
        <v>55.2</v>
      </c>
      <c r="H68">
        <v>4.4000000000000004</v>
      </c>
      <c r="I68">
        <v>27682</v>
      </c>
      <c r="J68">
        <v>87.5</v>
      </c>
    </row>
    <row r="69" spans="1:10" x14ac:dyDescent="0.3">
      <c r="A69" t="s">
        <v>23</v>
      </c>
      <c r="B69">
        <v>2021</v>
      </c>
      <c r="C69" t="s">
        <v>69</v>
      </c>
      <c r="D69">
        <v>299.39999999999998</v>
      </c>
      <c r="E69">
        <v>3.18</v>
      </c>
      <c r="F69">
        <v>108</v>
      </c>
      <c r="G69">
        <v>58.3</v>
      </c>
      <c r="H69">
        <v>4.2</v>
      </c>
      <c r="I69">
        <v>33960</v>
      </c>
      <c r="J69">
        <v>85.7</v>
      </c>
    </row>
    <row r="70" spans="1:10" x14ac:dyDescent="0.3">
      <c r="A70" t="s">
        <v>23</v>
      </c>
      <c r="B70">
        <v>2021</v>
      </c>
      <c r="C70" t="s">
        <v>70</v>
      </c>
      <c r="D70">
        <v>229.2</v>
      </c>
      <c r="E70">
        <v>2.6</v>
      </c>
      <c r="F70">
        <v>91</v>
      </c>
      <c r="G70">
        <v>48.3</v>
      </c>
      <c r="H70">
        <v>4.7</v>
      </c>
      <c r="I70">
        <v>34193</v>
      </c>
      <c r="J70">
        <v>90.6</v>
      </c>
    </row>
    <row r="71" spans="1:10" x14ac:dyDescent="0.3">
      <c r="A71" t="s">
        <v>23</v>
      </c>
      <c r="B71">
        <v>2021</v>
      </c>
      <c r="C71" t="s">
        <v>71</v>
      </c>
      <c r="D71">
        <v>229.6</v>
      </c>
      <c r="E71">
        <v>2.42</v>
      </c>
      <c r="F71">
        <v>85</v>
      </c>
      <c r="G71">
        <v>45.6</v>
      </c>
      <c r="H71">
        <v>4.3</v>
      </c>
      <c r="I71">
        <v>27770</v>
      </c>
      <c r="J71">
        <v>85.6</v>
      </c>
    </row>
    <row r="72" spans="1:10" x14ac:dyDescent="0.3">
      <c r="A72" t="s">
        <v>23</v>
      </c>
      <c r="B72">
        <v>2021</v>
      </c>
      <c r="C72" t="s">
        <v>72</v>
      </c>
      <c r="D72">
        <v>228.2</v>
      </c>
      <c r="E72">
        <v>2.56</v>
      </c>
      <c r="F72">
        <v>85</v>
      </c>
      <c r="G72">
        <v>48</v>
      </c>
      <c r="H72">
        <v>5.2</v>
      </c>
      <c r="I72">
        <v>27094</v>
      </c>
      <c r="J72">
        <v>88.3</v>
      </c>
    </row>
    <row r="73" spans="1:10" x14ac:dyDescent="0.3">
      <c r="A73" t="s">
        <v>23</v>
      </c>
      <c r="B73">
        <v>2021</v>
      </c>
      <c r="C73" t="s">
        <v>73</v>
      </c>
      <c r="D73">
        <v>239.1</v>
      </c>
      <c r="E73">
        <v>2.41</v>
      </c>
      <c r="F73">
        <v>89</v>
      </c>
      <c r="G73">
        <v>49.3</v>
      </c>
      <c r="H73">
        <v>4.2</v>
      </c>
      <c r="I73">
        <v>29472</v>
      </c>
      <c r="J73">
        <v>87.7</v>
      </c>
    </row>
    <row r="74" spans="1:10" x14ac:dyDescent="0.3">
      <c r="A74" t="s">
        <v>25</v>
      </c>
      <c r="B74">
        <v>2021</v>
      </c>
      <c r="C74" t="s">
        <v>62</v>
      </c>
      <c r="D74">
        <v>132.19999999999999</v>
      </c>
      <c r="E74">
        <v>1.31</v>
      </c>
      <c r="F74">
        <v>55</v>
      </c>
      <c r="G74">
        <v>29.3</v>
      </c>
      <c r="H74">
        <v>3.7</v>
      </c>
      <c r="I74">
        <v>22344</v>
      </c>
      <c r="J74">
        <v>93.5</v>
      </c>
    </row>
    <row r="75" spans="1:10" x14ac:dyDescent="0.3">
      <c r="A75" t="s">
        <v>25</v>
      </c>
      <c r="B75">
        <v>2021</v>
      </c>
      <c r="C75" t="s">
        <v>63</v>
      </c>
      <c r="D75">
        <v>131.80000000000001</v>
      </c>
      <c r="E75">
        <v>1.31</v>
      </c>
      <c r="F75">
        <v>57</v>
      </c>
      <c r="G75">
        <v>28.2</v>
      </c>
      <c r="H75">
        <v>3.2</v>
      </c>
      <c r="I75">
        <v>22355</v>
      </c>
      <c r="J75">
        <v>90.1</v>
      </c>
    </row>
    <row r="76" spans="1:10" x14ac:dyDescent="0.3">
      <c r="A76" t="s">
        <v>25</v>
      </c>
      <c r="B76">
        <v>2021</v>
      </c>
      <c r="C76" t="s">
        <v>64</v>
      </c>
      <c r="D76">
        <v>155.30000000000001</v>
      </c>
      <c r="E76">
        <v>1.5</v>
      </c>
      <c r="F76">
        <v>67</v>
      </c>
      <c r="G76">
        <v>34.6</v>
      </c>
      <c r="H76">
        <v>3.4</v>
      </c>
      <c r="I76">
        <v>18402</v>
      </c>
      <c r="J76">
        <v>93.1</v>
      </c>
    </row>
    <row r="77" spans="1:10" x14ac:dyDescent="0.3">
      <c r="A77" t="s">
        <v>25</v>
      </c>
      <c r="B77">
        <v>2021</v>
      </c>
      <c r="C77" t="s">
        <v>65</v>
      </c>
      <c r="D77">
        <v>167.4</v>
      </c>
      <c r="E77">
        <v>1.48</v>
      </c>
      <c r="F77">
        <v>63</v>
      </c>
      <c r="G77">
        <v>34.299999999999997</v>
      </c>
      <c r="H77">
        <v>3.6</v>
      </c>
      <c r="I77">
        <v>19723</v>
      </c>
      <c r="J77">
        <v>91.9</v>
      </c>
    </row>
    <row r="78" spans="1:10" x14ac:dyDescent="0.3">
      <c r="A78" t="s">
        <v>25</v>
      </c>
      <c r="B78">
        <v>2021</v>
      </c>
      <c r="C78" t="s">
        <v>66</v>
      </c>
      <c r="D78">
        <v>156.19999999999999</v>
      </c>
      <c r="E78">
        <v>1.45</v>
      </c>
      <c r="F78">
        <v>63</v>
      </c>
      <c r="G78">
        <v>34.1</v>
      </c>
      <c r="H78">
        <v>3.5</v>
      </c>
      <c r="I78">
        <v>20863</v>
      </c>
      <c r="J78">
        <v>90.6</v>
      </c>
    </row>
    <row r="79" spans="1:10" x14ac:dyDescent="0.3">
      <c r="A79" t="s">
        <v>25</v>
      </c>
      <c r="B79">
        <v>2021</v>
      </c>
      <c r="C79" t="s">
        <v>67</v>
      </c>
      <c r="D79">
        <v>206.7</v>
      </c>
      <c r="E79">
        <v>1.86</v>
      </c>
      <c r="F79">
        <v>84</v>
      </c>
      <c r="G79">
        <v>45.7</v>
      </c>
      <c r="H79">
        <v>3.6</v>
      </c>
      <c r="I79">
        <v>20142</v>
      </c>
      <c r="J79">
        <v>93.1</v>
      </c>
    </row>
    <row r="80" spans="1:10" x14ac:dyDescent="0.3">
      <c r="A80" t="s">
        <v>25</v>
      </c>
      <c r="B80">
        <v>2021</v>
      </c>
      <c r="C80" t="s">
        <v>68</v>
      </c>
      <c r="D80">
        <v>208.9</v>
      </c>
      <c r="E80">
        <v>1.86</v>
      </c>
      <c r="F80">
        <v>78</v>
      </c>
      <c r="G80">
        <v>44.4</v>
      </c>
      <c r="H80">
        <v>3.4</v>
      </c>
      <c r="I80">
        <v>22373</v>
      </c>
      <c r="J80">
        <v>92.4</v>
      </c>
    </row>
    <row r="81" spans="1:10" x14ac:dyDescent="0.3">
      <c r="A81" t="s">
        <v>25</v>
      </c>
      <c r="B81">
        <v>2021</v>
      </c>
      <c r="C81" t="s">
        <v>69</v>
      </c>
      <c r="D81">
        <v>194</v>
      </c>
      <c r="E81">
        <v>1.85</v>
      </c>
      <c r="F81">
        <v>83</v>
      </c>
      <c r="G81">
        <v>41.6</v>
      </c>
      <c r="H81">
        <v>3.5</v>
      </c>
      <c r="I81">
        <v>19467</v>
      </c>
      <c r="J81">
        <v>89.9</v>
      </c>
    </row>
    <row r="82" spans="1:10" x14ac:dyDescent="0.3">
      <c r="A82" t="s">
        <v>25</v>
      </c>
      <c r="B82">
        <v>2021</v>
      </c>
      <c r="C82" t="s">
        <v>70</v>
      </c>
      <c r="D82">
        <v>157.30000000000001</v>
      </c>
      <c r="E82">
        <v>1.5</v>
      </c>
      <c r="F82">
        <v>66</v>
      </c>
      <c r="G82">
        <v>32.6</v>
      </c>
      <c r="H82">
        <v>3.7</v>
      </c>
      <c r="I82">
        <v>22750</v>
      </c>
      <c r="J82">
        <v>90.3</v>
      </c>
    </row>
    <row r="83" spans="1:10" x14ac:dyDescent="0.3">
      <c r="A83" t="s">
        <v>25</v>
      </c>
      <c r="B83">
        <v>2021</v>
      </c>
      <c r="C83" t="s">
        <v>71</v>
      </c>
      <c r="D83">
        <v>157.80000000000001</v>
      </c>
      <c r="E83">
        <v>1.43</v>
      </c>
      <c r="F83">
        <v>67</v>
      </c>
      <c r="G83">
        <v>32.700000000000003</v>
      </c>
      <c r="H83">
        <v>3.4</v>
      </c>
      <c r="I83">
        <v>18716</v>
      </c>
      <c r="J83">
        <v>92.4</v>
      </c>
    </row>
    <row r="84" spans="1:10" x14ac:dyDescent="0.3">
      <c r="A84" t="s">
        <v>25</v>
      </c>
      <c r="B84">
        <v>2021</v>
      </c>
      <c r="C84" t="s">
        <v>72</v>
      </c>
      <c r="D84">
        <v>155.1</v>
      </c>
      <c r="E84">
        <v>1.47</v>
      </c>
      <c r="F84">
        <v>61</v>
      </c>
      <c r="G84">
        <v>32.5</v>
      </c>
      <c r="H84">
        <v>3.7</v>
      </c>
      <c r="I84">
        <v>19291</v>
      </c>
      <c r="J84">
        <v>89.6</v>
      </c>
    </row>
    <row r="85" spans="1:10" x14ac:dyDescent="0.3">
      <c r="A85" t="s">
        <v>25</v>
      </c>
      <c r="B85">
        <v>2021</v>
      </c>
      <c r="C85" t="s">
        <v>73</v>
      </c>
      <c r="D85">
        <v>162.1</v>
      </c>
      <c r="E85">
        <v>1.46</v>
      </c>
      <c r="F85">
        <v>63</v>
      </c>
      <c r="G85">
        <v>36.4</v>
      </c>
      <c r="H85">
        <v>3.4</v>
      </c>
      <c r="I85">
        <v>20815</v>
      </c>
      <c r="J85">
        <v>91</v>
      </c>
    </row>
    <row r="86" spans="1:10" x14ac:dyDescent="0.3">
      <c r="A86" t="s">
        <v>27</v>
      </c>
      <c r="B86">
        <v>2021</v>
      </c>
      <c r="C86" t="s">
        <v>62</v>
      </c>
      <c r="D86">
        <v>245.1</v>
      </c>
      <c r="E86">
        <v>1.92</v>
      </c>
      <c r="F86">
        <v>71</v>
      </c>
      <c r="G86">
        <v>45</v>
      </c>
      <c r="H86">
        <v>5.9</v>
      </c>
      <c r="I86">
        <v>31586</v>
      </c>
      <c r="J86">
        <v>94.7</v>
      </c>
    </row>
    <row r="87" spans="1:10" x14ac:dyDescent="0.3">
      <c r="A87" t="s">
        <v>27</v>
      </c>
      <c r="B87">
        <v>2021</v>
      </c>
      <c r="C87" t="s">
        <v>63</v>
      </c>
      <c r="D87">
        <v>246.7</v>
      </c>
      <c r="E87">
        <v>1.95</v>
      </c>
      <c r="F87">
        <v>70</v>
      </c>
      <c r="G87">
        <v>47.1</v>
      </c>
      <c r="H87">
        <v>5.0999999999999996</v>
      </c>
      <c r="I87">
        <v>25447</v>
      </c>
      <c r="J87">
        <v>94.5</v>
      </c>
    </row>
    <row r="88" spans="1:10" x14ac:dyDescent="0.3">
      <c r="A88" t="s">
        <v>27</v>
      </c>
      <c r="B88">
        <v>2021</v>
      </c>
      <c r="C88" t="s">
        <v>64</v>
      </c>
      <c r="D88">
        <v>295.60000000000002</v>
      </c>
      <c r="E88">
        <v>2.14</v>
      </c>
      <c r="F88">
        <v>86</v>
      </c>
      <c r="G88">
        <v>52.4</v>
      </c>
      <c r="H88">
        <v>5.9</v>
      </c>
      <c r="I88">
        <v>31990</v>
      </c>
      <c r="J88">
        <v>94.8</v>
      </c>
    </row>
    <row r="89" spans="1:10" x14ac:dyDescent="0.3">
      <c r="A89" t="s">
        <v>27</v>
      </c>
      <c r="B89">
        <v>2021</v>
      </c>
      <c r="C89" t="s">
        <v>65</v>
      </c>
      <c r="D89">
        <v>280</v>
      </c>
      <c r="E89">
        <v>2.2400000000000002</v>
      </c>
      <c r="F89">
        <v>79</v>
      </c>
      <c r="G89">
        <v>52</v>
      </c>
      <c r="H89">
        <v>5.5</v>
      </c>
      <c r="I89">
        <v>29744</v>
      </c>
      <c r="J89">
        <v>92.9</v>
      </c>
    </row>
    <row r="90" spans="1:10" x14ac:dyDescent="0.3">
      <c r="A90" t="s">
        <v>27</v>
      </c>
      <c r="B90">
        <v>2021</v>
      </c>
      <c r="C90" t="s">
        <v>66</v>
      </c>
      <c r="D90">
        <v>286.10000000000002</v>
      </c>
      <c r="E90">
        <v>2.29</v>
      </c>
      <c r="F90">
        <v>82</v>
      </c>
      <c r="G90">
        <v>49.8</v>
      </c>
      <c r="H90">
        <v>5.8</v>
      </c>
      <c r="I90">
        <v>30081</v>
      </c>
      <c r="J90">
        <v>92.4</v>
      </c>
    </row>
    <row r="91" spans="1:10" x14ac:dyDescent="0.3">
      <c r="A91" t="s">
        <v>27</v>
      </c>
      <c r="B91">
        <v>2021</v>
      </c>
      <c r="C91" t="s">
        <v>67</v>
      </c>
      <c r="D91">
        <v>358.9</v>
      </c>
      <c r="E91">
        <v>2.71</v>
      </c>
      <c r="F91">
        <v>103</v>
      </c>
      <c r="G91">
        <v>68.099999999999994</v>
      </c>
      <c r="H91">
        <v>6.1</v>
      </c>
      <c r="I91">
        <v>27397</v>
      </c>
      <c r="J91">
        <v>91.3</v>
      </c>
    </row>
    <row r="92" spans="1:10" x14ac:dyDescent="0.3">
      <c r="A92" t="s">
        <v>27</v>
      </c>
      <c r="B92">
        <v>2021</v>
      </c>
      <c r="C92" t="s">
        <v>68</v>
      </c>
      <c r="D92">
        <v>352.7</v>
      </c>
      <c r="E92">
        <v>2.84</v>
      </c>
      <c r="F92">
        <v>100</v>
      </c>
      <c r="G92">
        <v>66.400000000000006</v>
      </c>
      <c r="H92">
        <v>5.4</v>
      </c>
      <c r="I92">
        <v>30282</v>
      </c>
      <c r="J92">
        <v>93</v>
      </c>
    </row>
    <row r="93" spans="1:10" x14ac:dyDescent="0.3">
      <c r="A93" t="s">
        <v>27</v>
      </c>
      <c r="B93">
        <v>2021</v>
      </c>
      <c r="C93" t="s">
        <v>69</v>
      </c>
      <c r="D93">
        <v>379.9</v>
      </c>
      <c r="E93">
        <v>2.75</v>
      </c>
      <c r="F93">
        <v>99</v>
      </c>
      <c r="G93">
        <v>69</v>
      </c>
      <c r="H93">
        <v>5.7</v>
      </c>
      <c r="I93">
        <v>31141</v>
      </c>
      <c r="J93">
        <v>94.5</v>
      </c>
    </row>
    <row r="94" spans="1:10" x14ac:dyDescent="0.3">
      <c r="A94" t="s">
        <v>27</v>
      </c>
      <c r="B94">
        <v>2021</v>
      </c>
      <c r="C94" t="s">
        <v>70</v>
      </c>
      <c r="D94">
        <v>288.8</v>
      </c>
      <c r="E94">
        <v>2.31</v>
      </c>
      <c r="F94">
        <v>84</v>
      </c>
      <c r="G94">
        <v>54.4</v>
      </c>
      <c r="H94">
        <v>5.4</v>
      </c>
      <c r="I94">
        <v>27106</v>
      </c>
      <c r="J94">
        <v>92.6</v>
      </c>
    </row>
    <row r="95" spans="1:10" x14ac:dyDescent="0.3">
      <c r="A95" t="s">
        <v>27</v>
      </c>
      <c r="B95">
        <v>2021</v>
      </c>
      <c r="C95" t="s">
        <v>71</v>
      </c>
      <c r="D95">
        <v>282.89999999999998</v>
      </c>
      <c r="E95">
        <v>2.09</v>
      </c>
      <c r="F95">
        <v>84</v>
      </c>
      <c r="G95">
        <v>52.9</v>
      </c>
      <c r="H95">
        <v>5.6</v>
      </c>
      <c r="I95">
        <v>29558</v>
      </c>
      <c r="J95">
        <v>91.1</v>
      </c>
    </row>
    <row r="96" spans="1:10" x14ac:dyDescent="0.3">
      <c r="A96" t="s">
        <v>27</v>
      </c>
      <c r="B96">
        <v>2021</v>
      </c>
      <c r="C96" t="s">
        <v>72</v>
      </c>
      <c r="D96">
        <v>283.89999999999998</v>
      </c>
      <c r="E96">
        <v>2.1800000000000002</v>
      </c>
      <c r="F96">
        <v>81</v>
      </c>
      <c r="G96">
        <v>53.2</v>
      </c>
      <c r="H96">
        <v>5.2</v>
      </c>
      <c r="I96">
        <v>31533</v>
      </c>
      <c r="J96">
        <v>91.2</v>
      </c>
    </row>
    <row r="97" spans="1:10" x14ac:dyDescent="0.3">
      <c r="A97" t="s">
        <v>27</v>
      </c>
      <c r="B97">
        <v>2021</v>
      </c>
      <c r="C97" t="s">
        <v>73</v>
      </c>
      <c r="D97">
        <v>277</v>
      </c>
      <c r="E97">
        <v>2.1800000000000002</v>
      </c>
      <c r="F97">
        <v>80</v>
      </c>
      <c r="G97">
        <v>52.2</v>
      </c>
      <c r="H97">
        <v>6.2</v>
      </c>
      <c r="I97">
        <v>27676</v>
      </c>
      <c r="J97">
        <v>95.6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7617-74E2-4881-B9ED-9641A84C11F5}">
  <dimension ref="A3:B12"/>
  <sheetViews>
    <sheetView topLeftCell="A5" workbookViewId="0">
      <selection activeCell="J14" sqref="J14"/>
    </sheetView>
  </sheetViews>
  <sheetFormatPr baseColWidth="10" defaultRowHeight="14.4" x14ac:dyDescent="0.3"/>
  <cols>
    <col min="1" max="1" width="19.5546875" bestFit="1" customWidth="1"/>
    <col min="2" max="2" width="21.21875" bestFit="1" customWidth="1"/>
  </cols>
  <sheetData>
    <row r="3" spans="1:2" x14ac:dyDescent="0.3">
      <c r="A3" s="9" t="s">
        <v>133</v>
      </c>
      <c r="B3" t="s">
        <v>135</v>
      </c>
    </row>
    <row r="4" spans="1:2" x14ac:dyDescent="0.3">
      <c r="A4" s="10" t="s">
        <v>17</v>
      </c>
      <c r="B4" s="6">
        <v>67.572928131304806</v>
      </c>
    </row>
    <row r="5" spans="1:2" x14ac:dyDescent="0.3">
      <c r="A5" s="10" t="s">
        <v>23</v>
      </c>
      <c r="B5" s="6">
        <v>29.876300296118501</v>
      </c>
    </row>
    <row r="6" spans="1:2" x14ac:dyDescent="0.3">
      <c r="A6" s="10" t="s">
        <v>25</v>
      </c>
      <c r="B6" s="6">
        <v>42.849941908113493</v>
      </c>
    </row>
    <row r="7" spans="1:2" x14ac:dyDescent="0.3">
      <c r="A7" s="10" t="s">
        <v>13</v>
      </c>
      <c r="B7" s="6">
        <v>69.987636661008025</v>
      </c>
    </row>
    <row r="8" spans="1:2" x14ac:dyDescent="0.3">
      <c r="A8" s="10" t="s">
        <v>21</v>
      </c>
      <c r="B8" s="6">
        <v>48.067789171881792</v>
      </c>
    </row>
    <row r="9" spans="1:2" x14ac:dyDescent="0.3">
      <c r="A9" s="10" t="s">
        <v>19</v>
      </c>
      <c r="B9" s="6">
        <v>25.582642533955681</v>
      </c>
    </row>
    <row r="10" spans="1:2" x14ac:dyDescent="0.3">
      <c r="A10" s="10" t="s">
        <v>27</v>
      </c>
      <c r="B10" s="6">
        <v>57.584257004158587</v>
      </c>
    </row>
    <row r="11" spans="1:2" x14ac:dyDescent="0.3">
      <c r="A11" s="10" t="s">
        <v>15</v>
      </c>
      <c r="B11" s="6">
        <v>48.580782052537643</v>
      </c>
    </row>
    <row r="12" spans="1:2" x14ac:dyDescent="0.3">
      <c r="A12" s="10" t="s">
        <v>134</v>
      </c>
      <c r="B12" s="6">
        <v>390.1022777590785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4938-D420-4704-9CC0-D6B2513ABA2E}">
  <dimension ref="A1:J2"/>
  <sheetViews>
    <sheetView showGridLines="0" tabSelected="1" topLeftCell="A32" zoomScale="94" zoomScaleNormal="94" workbookViewId="0">
      <selection activeCell="L54" sqref="L54"/>
    </sheetView>
  </sheetViews>
  <sheetFormatPr baseColWidth="10" defaultRowHeight="14.4" x14ac:dyDescent="0.3"/>
  <sheetData>
    <row r="1" spans="1:10" x14ac:dyDescent="0.3">
      <c r="A1" s="13" t="s">
        <v>141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2"/>
      <c r="B2" s="12"/>
      <c r="C2" s="12"/>
      <c r="D2" s="12"/>
      <c r="E2" s="12"/>
      <c r="F2" s="12"/>
      <c r="G2" s="12"/>
      <c r="H2" s="12"/>
      <c r="I2" s="12"/>
      <c r="J2" s="12"/>
    </row>
  </sheetData>
  <mergeCells count="1">
    <mergeCell ref="A1:J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61F9-0F02-47B9-BA87-4F2D839BF916}">
  <dimension ref="A3:E12"/>
  <sheetViews>
    <sheetView topLeftCell="A8" workbookViewId="0">
      <selection activeCell="D24" sqref="D24"/>
    </sheetView>
  </sheetViews>
  <sheetFormatPr baseColWidth="10" defaultRowHeight="14.4" x14ac:dyDescent="0.3"/>
  <cols>
    <col min="1" max="1" width="19.5546875" bestFit="1" customWidth="1"/>
    <col min="2" max="2" width="25.109375" bestFit="1" customWidth="1"/>
    <col min="3" max="3" width="18.5546875" bestFit="1" customWidth="1"/>
    <col min="4" max="4" width="21.5546875" bestFit="1" customWidth="1"/>
    <col min="5" max="5" width="24.5546875" bestFit="1" customWidth="1"/>
    <col min="8" max="8" width="16.77734375" bestFit="1" customWidth="1"/>
    <col min="9" max="9" width="8.21875" bestFit="1" customWidth="1"/>
    <col min="10" max="15" width="22.33203125" bestFit="1" customWidth="1"/>
    <col min="16" max="16" width="11.88671875" bestFit="1" customWidth="1"/>
    <col min="17" max="17" width="10.21875" bestFit="1" customWidth="1"/>
    <col min="18" max="18" width="7.5546875" bestFit="1" customWidth="1"/>
    <col min="19" max="19" width="10.21875" bestFit="1" customWidth="1"/>
    <col min="20" max="20" width="7.5546875" bestFit="1" customWidth="1"/>
    <col min="21" max="21" width="10.21875" bestFit="1" customWidth="1"/>
    <col min="22" max="22" width="7.5546875" bestFit="1" customWidth="1"/>
    <col min="23" max="23" width="10.21875" bestFit="1" customWidth="1"/>
    <col min="24" max="24" width="11.88671875" bestFit="1" customWidth="1"/>
  </cols>
  <sheetData>
    <row r="3" spans="1:5" x14ac:dyDescent="0.3">
      <c r="A3" s="9" t="s">
        <v>133</v>
      </c>
      <c r="B3" t="s">
        <v>136</v>
      </c>
      <c r="C3" t="s">
        <v>137</v>
      </c>
      <c r="D3" t="s">
        <v>138</v>
      </c>
      <c r="E3" t="s">
        <v>139</v>
      </c>
    </row>
    <row r="4" spans="1:5" x14ac:dyDescent="0.3">
      <c r="A4" s="10" t="s">
        <v>15</v>
      </c>
      <c r="B4" s="6">
        <v>40.928446666265131</v>
      </c>
      <c r="C4" s="6">
        <v>65.254237288135585</v>
      </c>
      <c r="D4" s="6">
        <v>48.240469208211145</v>
      </c>
      <c r="E4" s="6">
        <v>39.642857142857125</v>
      </c>
    </row>
    <row r="5" spans="1:5" x14ac:dyDescent="0.3">
      <c r="A5" s="10" t="s">
        <v>27</v>
      </c>
      <c r="B5" s="6">
        <v>50</v>
      </c>
      <c r="C5" s="6">
        <v>37.005649717514125</v>
      </c>
      <c r="D5" s="6">
        <v>57.331378299120217</v>
      </c>
      <c r="E5" s="6">
        <v>95</v>
      </c>
    </row>
    <row r="6" spans="1:5" x14ac:dyDescent="0.3">
      <c r="A6" s="10" t="s">
        <v>19</v>
      </c>
      <c r="B6" s="6">
        <v>21.710875383537314</v>
      </c>
      <c r="C6" s="6">
        <v>59.134662532720789</v>
      </c>
      <c r="D6" s="6">
        <v>0</v>
      </c>
      <c r="E6" s="6">
        <v>21.428571428571438</v>
      </c>
    </row>
    <row r="7" spans="1:5" x14ac:dyDescent="0.3">
      <c r="A7" s="10" t="s">
        <v>21</v>
      </c>
      <c r="B7" s="6">
        <v>43.812183000796125</v>
      </c>
      <c r="C7" s="6">
        <v>41.8917612172798</v>
      </c>
      <c r="D7" s="6">
        <v>53.519061583577695</v>
      </c>
      <c r="E7" s="6">
        <v>55.357142857142875</v>
      </c>
    </row>
    <row r="8" spans="1:5" x14ac:dyDescent="0.3">
      <c r="A8" s="10" t="s">
        <v>13</v>
      </c>
      <c r="B8" s="6">
        <v>94.359444440143932</v>
      </c>
      <c r="C8" s="6">
        <v>34.719213315859392</v>
      </c>
      <c r="D8" s="6">
        <v>100</v>
      </c>
      <c r="E8" s="6">
        <v>40</v>
      </c>
    </row>
    <row r="9" spans="1:5" x14ac:dyDescent="0.3">
      <c r="A9" s="10" t="s">
        <v>25</v>
      </c>
      <c r="B9" s="6">
        <v>19.402548819905448</v>
      </c>
      <c r="C9" s="6">
        <v>55.603093631726189</v>
      </c>
      <c r="D9" s="6">
        <v>31.085043988269799</v>
      </c>
      <c r="E9" s="6">
        <v>76.785714285714306</v>
      </c>
    </row>
    <row r="10" spans="1:5" x14ac:dyDescent="0.3">
      <c r="A10" s="10" t="s">
        <v>23</v>
      </c>
      <c r="B10" s="6">
        <v>29.957869734655301</v>
      </c>
      <c r="C10" s="6">
        <v>53.001924239376933</v>
      </c>
      <c r="D10" s="6">
        <v>15.982404692082131</v>
      </c>
      <c r="E10" s="6">
        <v>18.214285714285719</v>
      </c>
    </row>
    <row r="11" spans="1:5" x14ac:dyDescent="0.3">
      <c r="A11" s="10" t="s">
        <v>17</v>
      </c>
      <c r="B11" s="6">
        <v>45.286850696550928</v>
      </c>
      <c r="C11" s="6">
        <v>57.676859096144938</v>
      </c>
      <c r="D11" s="6">
        <v>99.413489736070332</v>
      </c>
      <c r="E11" s="6">
        <v>73.571428571428555</v>
      </c>
    </row>
    <row r="12" spans="1:5" x14ac:dyDescent="0.3">
      <c r="A12" s="10" t="s">
        <v>134</v>
      </c>
      <c r="B12" s="6">
        <v>345.45821874185413</v>
      </c>
      <c r="C12" s="6">
        <v>404.28740103875776</v>
      </c>
      <c r="D12" s="6">
        <v>405.57184750733131</v>
      </c>
      <c r="E12" s="6">
        <v>420.00000000000006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5"/>
  <sheetViews>
    <sheetView topLeftCell="A33" workbookViewId="0">
      <selection activeCell="D45" sqref="D45"/>
    </sheetView>
  </sheetViews>
  <sheetFormatPr baseColWidth="10" defaultColWidth="8.88671875" defaultRowHeight="14.4" x14ac:dyDescent="0.3"/>
  <cols>
    <col min="1" max="1" width="60.5546875" bestFit="1" customWidth="1"/>
    <col min="2" max="2" width="15" bestFit="1" customWidth="1"/>
    <col min="4" max="4" width="11.6640625" bestFit="1" customWidth="1"/>
    <col min="5" max="5" width="14.5546875" bestFit="1" customWidth="1"/>
    <col min="6" max="6" width="11.33203125" bestFit="1" customWidth="1"/>
    <col min="8" max="8" width="15.44140625" bestFit="1" customWidth="1"/>
    <col min="9" max="9" width="19.5546875" bestFit="1" customWidth="1"/>
    <col min="10" max="10" width="18.5546875" bestFit="1" customWidth="1"/>
    <col min="11" max="11" width="21.5546875" bestFit="1" customWidth="1"/>
  </cols>
  <sheetData>
    <row r="1" spans="1:8" x14ac:dyDescent="0.3">
      <c r="A1" s="1" t="s">
        <v>74</v>
      </c>
      <c r="B1" s="1"/>
      <c r="C1" s="1"/>
      <c r="D1" s="1"/>
      <c r="E1" s="1"/>
      <c r="F1" s="1"/>
      <c r="G1" s="1"/>
      <c r="H1" s="1"/>
    </row>
    <row r="3" spans="1:8" x14ac:dyDescent="0.3">
      <c r="A3" t="s">
        <v>75</v>
      </c>
    </row>
    <row r="4" spans="1:8" x14ac:dyDescent="0.3">
      <c r="A4" t="s">
        <v>76</v>
      </c>
    </row>
    <row r="5" spans="1:8" x14ac:dyDescent="0.3">
      <c r="A5" t="s">
        <v>77</v>
      </c>
    </row>
    <row r="6" spans="1:8" x14ac:dyDescent="0.3">
      <c r="A6" t="s">
        <v>78</v>
      </c>
    </row>
    <row r="7" spans="1:8" x14ac:dyDescent="0.3">
      <c r="A7" t="s">
        <v>79</v>
      </c>
    </row>
    <row r="8" spans="1:8" x14ac:dyDescent="0.3">
      <c r="A8" t="s">
        <v>80</v>
      </c>
    </row>
    <row r="10" spans="1:8" x14ac:dyDescent="0.3">
      <c r="A10" t="s">
        <v>81</v>
      </c>
    </row>
    <row r="11" spans="1:8" x14ac:dyDescent="0.3">
      <c r="A11" t="s">
        <v>82</v>
      </c>
      <c r="B11">
        <v>0.3</v>
      </c>
    </row>
    <row r="12" spans="1:8" x14ac:dyDescent="0.3">
      <c r="A12" t="s">
        <v>83</v>
      </c>
      <c r="B12">
        <v>0.25</v>
      </c>
    </row>
    <row r="13" spans="1:8" x14ac:dyDescent="0.3">
      <c r="A13" t="s">
        <v>84</v>
      </c>
      <c r="B13">
        <v>0.25</v>
      </c>
    </row>
    <row r="14" spans="1:8" x14ac:dyDescent="0.3">
      <c r="A14" t="s">
        <v>85</v>
      </c>
      <c r="B14">
        <v>0.2</v>
      </c>
    </row>
    <row r="16" spans="1:8" x14ac:dyDescent="0.3">
      <c r="A16" t="s">
        <v>0</v>
      </c>
      <c r="B16" t="s">
        <v>86</v>
      </c>
      <c r="C16" t="s">
        <v>39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</row>
    <row r="17" spans="1:11" x14ac:dyDescent="0.3">
      <c r="A17" t="s">
        <v>13</v>
      </c>
      <c r="B17" s="6">
        <f>_xlfn.XLOOKUP(A17,Tableau6[Company],Tableau6[profitability_score])</f>
        <v>94.359444440143932</v>
      </c>
      <c r="C17" s="6">
        <f>_xlfn.XLOOKUP(A17,Tableau6[Company],Tableau6[Risk_score])</f>
        <v>34.719213315859392</v>
      </c>
      <c r="D17" s="6">
        <f>_xlfn.XLOOKUP(A17,Tableau6[Company],Tableau6[Growth_score])</f>
        <v>100</v>
      </c>
      <c r="E17" s="6">
        <f>_xlfn.XLOOKUP(A17,Tableau6[Company],Tableau6[operations_score])</f>
        <v>40</v>
      </c>
      <c r="F17" s="6">
        <f>0.3*B17+0.25*C17+0.25*D17+0.2*E17</f>
        <v>69.987636661008025</v>
      </c>
      <c r="G17">
        <f>RANK(F17,$F$17:$F$24,0)</f>
        <v>1</v>
      </c>
      <c r="H17" t="str">
        <f>IF(F17&gt;=80,"strong buy",IF(F17&gt;=60,"consider","reject"))</f>
        <v>consider</v>
      </c>
    </row>
    <row r="18" spans="1:11" x14ac:dyDescent="0.3">
      <c r="A18" t="s">
        <v>15</v>
      </c>
      <c r="B18" s="6">
        <f>_xlfn.XLOOKUP(A18,Tableau6[Company],Tableau6[profitability_score])</f>
        <v>40.928446666265131</v>
      </c>
      <c r="C18" s="6">
        <f>_xlfn.XLOOKUP(A18,Tableau6[Company],Tableau6[Risk_score])</f>
        <v>65.254237288135585</v>
      </c>
      <c r="D18" s="6">
        <f>_xlfn.XLOOKUP(A18,Tableau6[Company],Tableau6[Growth_score])</f>
        <v>48.240469208211145</v>
      </c>
      <c r="E18" s="6">
        <f>_xlfn.XLOOKUP(A18,Tableau6[Company],Tableau6[operations_score])</f>
        <v>39.642857142857125</v>
      </c>
      <c r="F18" s="6">
        <f t="shared" ref="F18:F24" si="0">0.3*B18+0.25*C18+0.25*D18+0.2*E18</f>
        <v>48.580782052537643</v>
      </c>
      <c r="G18">
        <f t="shared" ref="G18:G24" si="1">RANK(F18,$F$17:$F$24,0)</f>
        <v>4</v>
      </c>
      <c r="H18" t="str">
        <f t="shared" ref="H18:H24" si="2">IF(F18&gt;=80,"strong buy",IF(F18&gt;=60,"consider","reject"))</f>
        <v>reject</v>
      </c>
    </row>
    <row r="19" spans="1:11" x14ac:dyDescent="0.3">
      <c r="A19" t="s">
        <v>17</v>
      </c>
      <c r="B19" s="6">
        <f>_xlfn.XLOOKUP(A19,Tableau6[Company],Tableau6[profitability_score])</f>
        <v>45.286850696550928</v>
      </c>
      <c r="C19" s="6">
        <f>_xlfn.XLOOKUP(A19,Tableau6[Company],Tableau6[Risk_score])</f>
        <v>57.676859096144938</v>
      </c>
      <c r="D19" s="6">
        <f>_xlfn.XLOOKUP(A19,Tableau6[Company],Tableau6[Growth_score])</f>
        <v>99.413489736070332</v>
      </c>
      <c r="E19" s="6">
        <f>_xlfn.XLOOKUP(A19,Tableau6[Company],Tableau6[operations_score])</f>
        <v>73.571428571428555</v>
      </c>
      <c r="F19" s="6">
        <f t="shared" si="0"/>
        <v>67.572928131304806</v>
      </c>
      <c r="G19">
        <f t="shared" si="1"/>
        <v>2</v>
      </c>
      <c r="H19" t="str">
        <f t="shared" si="2"/>
        <v>consider</v>
      </c>
    </row>
    <row r="20" spans="1:11" x14ac:dyDescent="0.3">
      <c r="A20" t="s">
        <v>19</v>
      </c>
      <c r="B20" s="6">
        <f>_xlfn.XLOOKUP(A20,Tableau6[Company],Tableau6[profitability_score])</f>
        <v>21.710875383537314</v>
      </c>
      <c r="C20" s="6">
        <f>_xlfn.XLOOKUP(A20,Tableau6[Company],Tableau6[Risk_score])</f>
        <v>59.134662532720789</v>
      </c>
      <c r="D20" s="6">
        <f>_xlfn.XLOOKUP(A20,Tableau6[Company],Tableau6[Growth_score])</f>
        <v>0</v>
      </c>
      <c r="E20" s="6">
        <f>_xlfn.XLOOKUP(A20,Tableau6[Company],Tableau6[operations_score])</f>
        <v>21.428571428571438</v>
      </c>
      <c r="F20" s="6">
        <f t="shared" si="0"/>
        <v>25.582642533955681</v>
      </c>
      <c r="G20">
        <f t="shared" si="1"/>
        <v>8</v>
      </c>
      <c r="H20" t="str">
        <f t="shared" si="2"/>
        <v>reject</v>
      </c>
    </row>
    <row r="21" spans="1:11" x14ac:dyDescent="0.3">
      <c r="A21" t="s">
        <v>21</v>
      </c>
      <c r="B21" s="6">
        <f>_xlfn.XLOOKUP(A21,Tableau6[Company],Tableau6[profitability_score])</f>
        <v>43.812183000796125</v>
      </c>
      <c r="C21" s="6">
        <f>_xlfn.XLOOKUP(A21,Tableau6[Company],Tableau6[Risk_score])</f>
        <v>41.8917612172798</v>
      </c>
      <c r="D21" s="6">
        <f>_xlfn.XLOOKUP(A21,Tableau6[Company],Tableau6[Growth_score])</f>
        <v>53.519061583577695</v>
      </c>
      <c r="E21" s="6">
        <f>_xlfn.XLOOKUP(A21,Tableau6[Company],Tableau6[operations_score])</f>
        <v>55.357142857142875</v>
      </c>
      <c r="F21" s="6">
        <f t="shared" si="0"/>
        <v>48.067789171881792</v>
      </c>
      <c r="G21">
        <f t="shared" si="1"/>
        <v>5</v>
      </c>
      <c r="H21" t="str">
        <f t="shared" si="2"/>
        <v>reject</v>
      </c>
    </row>
    <row r="22" spans="1:11" x14ac:dyDescent="0.3">
      <c r="A22" t="s">
        <v>23</v>
      </c>
      <c r="B22" s="6">
        <f>_xlfn.XLOOKUP(A22,Tableau6[Company],Tableau6[profitability_score])</f>
        <v>29.957869734655301</v>
      </c>
      <c r="C22" s="6">
        <f>_xlfn.XLOOKUP(A22,Tableau6[Company],Tableau6[Risk_score])</f>
        <v>53.001924239376933</v>
      </c>
      <c r="D22" s="6">
        <f>_xlfn.XLOOKUP(A22,Tableau6[Company],Tableau6[Growth_score])</f>
        <v>15.982404692082131</v>
      </c>
      <c r="E22" s="6">
        <f>_xlfn.XLOOKUP(A22,Tableau6[Company],Tableau6[operations_score])</f>
        <v>18.214285714285719</v>
      </c>
      <c r="F22" s="6">
        <f t="shared" si="0"/>
        <v>29.876300296118501</v>
      </c>
      <c r="G22">
        <f t="shared" si="1"/>
        <v>7</v>
      </c>
      <c r="H22" t="str">
        <f t="shared" si="2"/>
        <v>reject</v>
      </c>
    </row>
    <row r="23" spans="1:11" x14ac:dyDescent="0.3">
      <c r="A23" t="s">
        <v>25</v>
      </c>
      <c r="B23" s="6">
        <f>_xlfn.XLOOKUP(A23,Tableau6[Company],Tableau6[profitability_score])</f>
        <v>19.402548819905448</v>
      </c>
      <c r="C23" s="6">
        <f>_xlfn.XLOOKUP(A23,Tableau6[Company],Tableau6[Risk_score])</f>
        <v>55.603093631726189</v>
      </c>
      <c r="D23" s="6">
        <f>_xlfn.XLOOKUP(A23,Tableau6[Company],Tableau6[Growth_score])</f>
        <v>31.085043988269799</v>
      </c>
      <c r="E23" s="6">
        <f>_xlfn.XLOOKUP(A23,Tableau6[Company],Tableau6[operations_score])</f>
        <v>76.785714285714306</v>
      </c>
      <c r="F23" s="6">
        <f t="shared" si="0"/>
        <v>42.849941908113493</v>
      </c>
      <c r="G23">
        <f t="shared" si="1"/>
        <v>6</v>
      </c>
      <c r="H23" t="str">
        <f t="shared" si="2"/>
        <v>reject</v>
      </c>
    </row>
    <row r="24" spans="1:11" x14ac:dyDescent="0.3">
      <c r="A24" t="s">
        <v>27</v>
      </c>
      <c r="B24" s="6">
        <f>_xlfn.XLOOKUP(A24,Tableau6[Company],Tableau6[profitability_score])</f>
        <v>50</v>
      </c>
      <c r="C24" s="6">
        <f>_xlfn.XLOOKUP(A24,Tableau6[Company],Tableau6[Risk_score])</f>
        <v>37.005649717514125</v>
      </c>
      <c r="D24" s="6">
        <f>_xlfn.XLOOKUP(A24,Tableau6[Company],Tableau6[Growth_score])</f>
        <v>57.331378299120217</v>
      </c>
      <c r="E24" s="6">
        <f>_xlfn.XLOOKUP(A24,Tableau6[Company],Tableau6[operations_score])</f>
        <v>95</v>
      </c>
      <c r="F24" s="6">
        <f t="shared" si="0"/>
        <v>57.584257004158587</v>
      </c>
      <c r="G24">
        <f t="shared" si="1"/>
        <v>3</v>
      </c>
      <c r="H24" t="str">
        <f t="shared" si="2"/>
        <v>reject</v>
      </c>
    </row>
    <row r="26" spans="1:11" x14ac:dyDescent="0.3">
      <c r="A26" t="s">
        <v>92</v>
      </c>
      <c r="I26" s="9" t="s">
        <v>133</v>
      </c>
      <c r="J26" t="s">
        <v>137</v>
      </c>
      <c r="K26" t="s">
        <v>138</v>
      </c>
    </row>
    <row r="27" spans="1:11" x14ac:dyDescent="0.3">
      <c r="A27" t="s">
        <v>93</v>
      </c>
      <c r="I27" s="10" t="s">
        <v>15</v>
      </c>
      <c r="J27" s="6">
        <v>65.254237288135585</v>
      </c>
      <c r="K27" s="6">
        <v>48.240469208211145</v>
      </c>
    </row>
    <row r="28" spans="1:11" x14ac:dyDescent="0.3">
      <c r="A28" t="s">
        <v>94</v>
      </c>
      <c r="I28" s="10" t="s">
        <v>27</v>
      </c>
      <c r="J28" s="6">
        <v>37.005649717514125</v>
      </c>
      <c r="K28" s="6">
        <v>57.331378299120217</v>
      </c>
    </row>
    <row r="29" spans="1:11" x14ac:dyDescent="0.3">
      <c r="A29" t="s">
        <v>95</v>
      </c>
      <c r="I29" s="10" t="s">
        <v>19</v>
      </c>
      <c r="J29" s="6">
        <v>59.134662532720789</v>
      </c>
      <c r="K29" s="6">
        <v>0</v>
      </c>
    </row>
    <row r="30" spans="1:11" x14ac:dyDescent="0.3">
      <c r="I30" s="10" t="s">
        <v>21</v>
      </c>
      <c r="J30" s="6">
        <v>41.8917612172798</v>
      </c>
      <c r="K30" s="6">
        <v>53.519061583577695</v>
      </c>
    </row>
    <row r="31" spans="1:11" x14ac:dyDescent="0.3">
      <c r="A31" t="s">
        <v>96</v>
      </c>
      <c r="I31" s="10" t="s">
        <v>13</v>
      </c>
      <c r="J31" s="6">
        <v>34.719213315859392</v>
      </c>
      <c r="K31" s="6">
        <v>100</v>
      </c>
    </row>
    <row r="32" spans="1:11" x14ac:dyDescent="0.3">
      <c r="A32" t="s">
        <v>97</v>
      </c>
      <c r="B32" t="s">
        <v>82</v>
      </c>
      <c r="C32" t="s">
        <v>83</v>
      </c>
      <c r="D32" t="s">
        <v>84</v>
      </c>
      <c r="E32" t="s">
        <v>85</v>
      </c>
      <c r="I32" s="10" t="s">
        <v>25</v>
      </c>
      <c r="J32" s="6">
        <v>55.603093631726189</v>
      </c>
      <c r="K32" s="6">
        <v>31.085043988269799</v>
      </c>
    </row>
    <row r="33" spans="1:11" x14ac:dyDescent="0.3">
      <c r="A33" t="s">
        <v>98</v>
      </c>
      <c r="B33">
        <v>0.3</v>
      </c>
      <c r="C33">
        <v>0.25</v>
      </c>
      <c r="D33">
        <v>0.25</v>
      </c>
      <c r="E33">
        <v>0.2</v>
      </c>
      <c r="I33" s="10" t="s">
        <v>23</v>
      </c>
      <c r="J33" s="6">
        <v>53.001924239376933</v>
      </c>
      <c r="K33" s="6">
        <v>15.982404692082131</v>
      </c>
    </row>
    <row r="34" spans="1:11" x14ac:dyDescent="0.3">
      <c r="A34" t="s">
        <v>99</v>
      </c>
      <c r="B34">
        <v>0.2</v>
      </c>
      <c r="C34">
        <v>0.2</v>
      </c>
      <c r="D34">
        <v>0.4</v>
      </c>
      <c r="E34">
        <v>0.2</v>
      </c>
      <c r="I34" s="10" t="s">
        <v>17</v>
      </c>
      <c r="J34" s="6">
        <v>57.676859096144938</v>
      </c>
      <c r="K34" s="6">
        <v>99.413489736070332</v>
      </c>
    </row>
    <row r="35" spans="1:11" x14ac:dyDescent="0.3">
      <c r="A35" t="s">
        <v>100</v>
      </c>
      <c r="B35">
        <v>0.2</v>
      </c>
      <c r="C35">
        <v>0.4</v>
      </c>
      <c r="D35">
        <v>0.2</v>
      </c>
      <c r="E35">
        <v>0.2</v>
      </c>
      <c r="I35" s="10" t="s">
        <v>134</v>
      </c>
      <c r="J35" s="6">
        <v>404.28740103875776</v>
      </c>
      <c r="K35" s="6">
        <v>405.57184750733131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Business_Case</vt:lpstr>
      <vt:lpstr>Financials</vt:lpstr>
      <vt:lpstr>Analysis</vt:lpstr>
      <vt:lpstr>Market</vt:lpstr>
      <vt:lpstr>Operations</vt:lpstr>
      <vt:lpstr>Risk_Lookup</vt:lpstr>
      <vt:lpstr>Monthly_Performance</vt:lpstr>
      <vt:lpstr>Classement des cibles d'acquisi</vt:lpstr>
      <vt:lpstr>Dashboard</vt:lpstr>
      <vt:lpstr>Décomposition des scores</vt:lpstr>
      <vt:lpstr>Acquisition_Scoring_Model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Mbelel</cp:lastModifiedBy>
  <dcterms:created xsi:type="dcterms:W3CDTF">2026-06-16T22:14:33Z</dcterms:created>
  <dcterms:modified xsi:type="dcterms:W3CDTF">2026-06-18T10:01:53Z</dcterms:modified>
</cp:coreProperties>
</file>